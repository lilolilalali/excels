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231" codeName="{DD97A8EA-9A9A-E61F-A557-7D5A7D7259CE}"/>
  <workbookPr codeName="ThisWorkbook" defaultThemeVersion="166925"/>
  <mc:AlternateContent xmlns:mc="http://schemas.openxmlformats.org/markup-compatibility/2006">
    <mc:Choice Requires="x15">
      <x15ac:absPath xmlns:x15ac="http://schemas.microsoft.com/office/spreadsheetml/2010/11/ac" url="C:\git\"/>
    </mc:Choice>
  </mc:AlternateContent>
  <xr:revisionPtr revIDLastSave="0" documentId="13_ncr:1_{2732AC9B-B02D-48AC-BFD8-7AC3EF11F252}" xr6:coauthVersionLast="47" xr6:coauthVersionMax="47" xr10:uidLastSave="{00000000-0000-0000-0000-000000000000}"/>
  <bookViews>
    <workbookView xWindow="-30" yWindow="75" windowWidth="20535" windowHeight="10680" tabRatio="794" xr2:uid="{6F0C5FE0-365B-4A0C-B254-3063DA74447D}"/>
  </bookViews>
  <sheets>
    <sheet name="様式 " sheetId="17" r:id="rId1"/>
    <sheet name="ダウンロードシート" sheetId="15" r:id="rId2"/>
    <sheet name="受注確認書" sheetId="18" r:id="rId3"/>
    <sheet name="選択肢" sheetId="10" r:id="rId4"/>
    <sheet name="シートフォーム" sheetId="13" r:id="rId5"/>
    <sheet name="再防検討" sheetId="19" r:id="rId6"/>
    <sheet name="テーブル検討" sheetId="20" r:id="rId7"/>
    <sheet name="再防検討 (2)" sheetId="21" r:id="rId8"/>
  </sheets>
  <functionGroups builtInGroupCount="19"/>
  <definedNames>
    <definedName name="_xlnm._FilterDatabase" localSheetId="1" hidden="1">ダウンロードシート!$A$1:$BF$313</definedName>
    <definedName name="_xlnm.Print_Area" localSheetId="4">シートフォーム!$A$1:$D$70</definedName>
    <definedName name="_xlnm.Print_Area" localSheetId="5">再防検討!$B$8:$CV$58</definedName>
    <definedName name="_xlnm.Print_Area" localSheetId="7">'再防検討 (2)'!$B$8:$CV$58</definedName>
    <definedName name="_xlnm.Print_Area" localSheetId="0">'様式 '!$A$1:$J$177</definedName>
  </definedNames>
  <calcPr calcId="191029" refMode="R1C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67" i="13" l="1"/>
  <c r="H67" i="13"/>
  <c r="L66" i="13"/>
  <c r="H66" i="13"/>
  <c r="BG37" i="10"/>
  <c r="BD37" i="10"/>
  <c r="BG36" i="10"/>
  <c r="BD36" i="10"/>
  <c r="BG35" i="10"/>
  <c r="BD35" i="10"/>
  <c r="BG34" i="10"/>
  <c r="BD34" i="10"/>
  <c r="BG33" i="10"/>
  <c r="BD33" i="10"/>
  <c r="BG32" i="10"/>
  <c r="BD32" i="10"/>
  <c r="BG31" i="10"/>
  <c r="BD31" i="10"/>
  <c r="BG30" i="10"/>
  <c r="BD30" i="10"/>
  <c r="BG29" i="10"/>
  <c r="BD29" i="10"/>
  <c r="BG28" i="10"/>
  <c r="BD28" i="10"/>
  <c r="BG27" i="10"/>
  <c r="BD27" i="10"/>
  <c r="BG26" i="10"/>
  <c r="BD26" i="10"/>
  <c r="BG25" i="10"/>
  <c r="BD25" i="10"/>
  <c r="BG24" i="10"/>
  <c r="BD24" i="10"/>
  <c r="BG23" i="10"/>
  <c r="BD23" i="10"/>
  <c r="BG22" i="10"/>
  <c r="BD22" i="10"/>
  <c r="BG21" i="10"/>
  <c r="BD21" i="10"/>
  <c r="BG20" i="10"/>
  <c r="BD20" i="10"/>
  <c r="BG19" i="10"/>
  <c r="BD19" i="10"/>
  <c r="BG18" i="10"/>
  <c r="BD18" i="10"/>
  <c r="BG17" i="10"/>
  <c r="BD17" i="10"/>
  <c r="BG16" i="10"/>
  <c r="BD16" i="10"/>
  <c r="BG15" i="10"/>
  <c r="BD15" i="10"/>
  <c r="BG14" i="10"/>
  <c r="BD14" i="10"/>
  <c r="BG13" i="10"/>
  <c r="BD13" i="10"/>
  <c r="BG12" i="10"/>
  <c r="BD12" i="10"/>
  <c r="BG11" i="10"/>
  <c r="BD11" i="10"/>
  <c r="BG10" i="10"/>
  <c r="BD10" i="10"/>
  <c r="BG9" i="10"/>
  <c r="BD9" i="10"/>
  <c r="BG8" i="10"/>
  <c r="BD8" i="10"/>
  <c r="BG7" i="10"/>
  <c r="BD7" i="10"/>
  <c r="BG6" i="10"/>
  <c r="BD6" i="10"/>
  <c r="BG5" i="10"/>
  <c r="BD5" i="10"/>
  <c r="BG4" i="10"/>
  <c r="BD4" i="10"/>
  <c r="BG3" i="10"/>
  <c r="BD3" i="10"/>
  <c r="BG2" i="10"/>
  <c r="BD2" i="10"/>
</calcChain>
</file>

<file path=xl/sharedStrings.xml><?xml version="1.0" encoding="utf-8"?>
<sst xmlns="http://schemas.openxmlformats.org/spreadsheetml/2006/main" count="3883" uniqueCount="1774">
  <si>
    <t>製品名</t>
    <rPh sb="0" eb="3">
      <t>セイヒンメイ</t>
    </rPh>
    <phoneticPr fontId="5"/>
  </si>
  <si>
    <t>発生日</t>
    <rPh sb="0" eb="2">
      <t>ハッセイ</t>
    </rPh>
    <rPh sb="2" eb="3">
      <t>ビ</t>
    </rPh>
    <phoneticPr fontId="5"/>
  </si>
  <si>
    <t>発生場所</t>
    <rPh sb="0" eb="2">
      <t>ハッセイ</t>
    </rPh>
    <rPh sb="2" eb="4">
      <t>バショ</t>
    </rPh>
    <phoneticPr fontId="5"/>
  </si>
  <si>
    <t>受付日</t>
    <rPh sb="0" eb="3">
      <t>ウケツケビ</t>
    </rPh>
    <phoneticPr fontId="5"/>
  </si>
  <si>
    <t>製品カテゴリ</t>
    <rPh sb="0" eb="2">
      <t>セイヒン</t>
    </rPh>
    <phoneticPr fontId="5"/>
  </si>
  <si>
    <t>連絡宛先To</t>
    <rPh sb="0" eb="2">
      <t>レンラク</t>
    </rPh>
    <rPh sb="2" eb="4">
      <t>アテサキ</t>
    </rPh>
    <phoneticPr fontId="5"/>
  </si>
  <si>
    <t>連絡宛先CC</t>
    <rPh sb="0" eb="2">
      <t>レンラク</t>
    </rPh>
    <rPh sb="2" eb="4">
      <t>アテサキ</t>
    </rPh>
    <phoneticPr fontId="5"/>
  </si>
  <si>
    <t>taka-fujiwara@krone.co.jp</t>
    <phoneticPr fontId="5"/>
  </si>
  <si>
    <t>受付ID</t>
    <rPh sb="0" eb="2">
      <t>ウケツケ</t>
    </rPh>
    <phoneticPr fontId="5"/>
  </si>
  <si>
    <t>対象品</t>
    <phoneticPr fontId="5"/>
  </si>
  <si>
    <t>顧客要求</t>
    <phoneticPr fontId="5"/>
  </si>
  <si>
    <t>件名</t>
    <rPh sb="0" eb="2">
      <t>ケンメイ</t>
    </rPh>
    <phoneticPr fontId="5"/>
  </si>
  <si>
    <t>現象</t>
    <rPh sb="0" eb="2">
      <t>ゲンショウ</t>
    </rPh>
    <phoneticPr fontId="5"/>
  </si>
  <si>
    <t>処置内容</t>
    <rPh sb="0" eb="2">
      <t>ショチ</t>
    </rPh>
    <rPh sb="2" eb="4">
      <t>ナイヨウ</t>
    </rPh>
    <phoneticPr fontId="5"/>
  </si>
  <si>
    <t>完了日</t>
    <rPh sb="0" eb="2">
      <t>カンリョウ</t>
    </rPh>
    <rPh sb="2" eb="3">
      <t>ビ</t>
    </rPh>
    <phoneticPr fontId="5"/>
  </si>
  <si>
    <t>原因</t>
    <rPh sb="0" eb="2">
      <t>ゲンイン</t>
    </rPh>
    <phoneticPr fontId="5"/>
  </si>
  <si>
    <t>DB_ID</t>
    <phoneticPr fontId="5"/>
  </si>
  <si>
    <t>エスカレ選択「修理･調整　or　不具合？(回答期限）」</t>
    <rPh sb="4" eb="6">
      <t>センタク</t>
    </rPh>
    <rPh sb="7" eb="9">
      <t>シュウリ</t>
    </rPh>
    <rPh sb="10" eb="12">
      <t>チョウセイ</t>
    </rPh>
    <rPh sb="16" eb="19">
      <t>フグアイ</t>
    </rPh>
    <rPh sb="21" eb="23">
      <t>カイトウ</t>
    </rPh>
    <rPh sb="23" eb="25">
      <t>キゲン</t>
    </rPh>
    <phoneticPr fontId="5"/>
  </si>
  <si>
    <t>預品処置(返却、廃棄、交換)</t>
    <rPh sb="5" eb="7">
      <t>ヘンキャク</t>
    </rPh>
    <rPh sb="8" eb="10">
      <t>ハイキ</t>
    </rPh>
    <rPh sb="11" eb="13">
      <t>コウカン</t>
    </rPh>
    <phoneticPr fontId="5"/>
  </si>
  <si>
    <t>不具合(自責)/不具合以外(ﾕｰｻﾞｰ責)の判断</t>
    <rPh sb="0" eb="3">
      <t>フグアイ</t>
    </rPh>
    <rPh sb="4" eb="6">
      <t>ジセキ</t>
    </rPh>
    <rPh sb="8" eb="11">
      <t>フグアイ</t>
    </rPh>
    <rPh sb="11" eb="13">
      <t>イガイ</t>
    </rPh>
    <rPh sb="19" eb="20">
      <t>セキ</t>
    </rPh>
    <rPh sb="22" eb="24">
      <t>ハンダン</t>
    </rPh>
    <phoneticPr fontId="5"/>
  </si>
  <si>
    <t>ﾕｰｻﾞｰ責時の見積など情報</t>
    <rPh sb="5" eb="6">
      <t>セキ</t>
    </rPh>
    <rPh sb="6" eb="7">
      <t>ジ</t>
    </rPh>
    <rPh sb="8" eb="10">
      <t>ミツ</t>
    </rPh>
    <rPh sb="12" eb="14">
      <t>ジョウホウ</t>
    </rPh>
    <phoneticPr fontId="5"/>
  </si>
  <si>
    <t>対策(方向付け)</t>
    <rPh sb="0" eb="2">
      <t>タイサク</t>
    </rPh>
    <rPh sb="3" eb="6">
      <t>ホウコウヅ</t>
    </rPh>
    <phoneticPr fontId="5"/>
  </si>
  <si>
    <t>添付ファイル</t>
    <rPh sb="0" eb="2">
      <t>テンプ</t>
    </rPh>
    <phoneticPr fontId="5"/>
  </si>
  <si>
    <t>最終承認者</t>
    <rPh sb="0" eb="2">
      <t>サイシュウ</t>
    </rPh>
    <rPh sb="2" eb="4">
      <t>ショウニン</t>
    </rPh>
    <rPh sb="4" eb="5">
      <t>シャ</t>
    </rPh>
    <phoneticPr fontId="5"/>
  </si>
  <si>
    <t>対策担当者</t>
    <rPh sb="0" eb="2">
      <t>タイサク</t>
    </rPh>
    <rPh sb="2" eb="4">
      <t>タントウ</t>
    </rPh>
    <rPh sb="4" eb="5">
      <t>シャ</t>
    </rPh>
    <phoneticPr fontId="5"/>
  </si>
  <si>
    <t>対策承認者</t>
    <rPh sb="0" eb="2">
      <t>タイサク</t>
    </rPh>
    <rPh sb="2" eb="4">
      <t>ショウニン</t>
    </rPh>
    <rPh sb="4" eb="5">
      <t>シャ</t>
    </rPh>
    <phoneticPr fontId="5"/>
  </si>
  <si>
    <t>ｴｽｶﾚ情報不足時の再確認依頼内容</t>
    <rPh sb="4" eb="6">
      <t>ジョウホウ</t>
    </rPh>
    <rPh sb="6" eb="8">
      <t>フソク</t>
    </rPh>
    <rPh sb="8" eb="9">
      <t>ジ</t>
    </rPh>
    <rPh sb="10" eb="13">
      <t>サイカクニン</t>
    </rPh>
    <rPh sb="13" eb="15">
      <t>イライ</t>
    </rPh>
    <rPh sb="15" eb="17">
      <t>ナイヨウ</t>
    </rPh>
    <phoneticPr fontId="5"/>
  </si>
  <si>
    <t>得意先コード検索</t>
    <rPh sb="0" eb="3">
      <t>トクイサキ</t>
    </rPh>
    <rPh sb="6" eb="8">
      <t>ケンサク</t>
    </rPh>
    <phoneticPr fontId="5"/>
  </si>
  <si>
    <t>品目コード検索</t>
    <rPh sb="0" eb="2">
      <t>ヒンモク</t>
    </rPh>
    <rPh sb="5" eb="7">
      <t>ケンサク</t>
    </rPh>
    <phoneticPr fontId="5"/>
  </si>
  <si>
    <t xml:space="preserve">エスカレ時対応
</t>
    <phoneticPr fontId="5"/>
  </si>
  <si>
    <t>発信者</t>
    <rPh sb="0" eb="3">
      <t>ハッシンシャ</t>
    </rPh>
    <phoneticPr fontId="5"/>
  </si>
  <si>
    <t>履歴</t>
    <rPh sb="0" eb="2">
      <t>リレキ</t>
    </rPh>
    <phoneticPr fontId="5"/>
  </si>
  <si>
    <t>修理･調整可能</t>
    <rPh sb="0" eb="2">
      <t>シュウリ</t>
    </rPh>
    <rPh sb="3" eb="5">
      <t>チョウセイ</t>
    </rPh>
    <rPh sb="5" eb="7">
      <t>カノウ</t>
    </rPh>
    <phoneticPr fontId="5"/>
  </si>
  <si>
    <t>修理･調整不可能</t>
    <rPh sb="0" eb="2">
      <t>シュウリ</t>
    </rPh>
    <rPh sb="3" eb="5">
      <t>チョウセイ</t>
    </rPh>
    <rPh sb="5" eb="8">
      <t>フカノウ</t>
    </rPh>
    <phoneticPr fontId="5"/>
  </si>
  <si>
    <t>修理･調整可否</t>
    <phoneticPr fontId="5"/>
  </si>
  <si>
    <t>預品処置</t>
    <rPh sb="0" eb="1">
      <t>アズカリ</t>
    </rPh>
    <rPh sb="1" eb="2">
      <t>ヒン</t>
    </rPh>
    <rPh sb="2" eb="4">
      <t>ショチ</t>
    </rPh>
    <phoneticPr fontId="5"/>
  </si>
  <si>
    <t>エスカレ発信者</t>
    <rPh sb="4" eb="7">
      <t>ハッシンシャ</t>
    </rPh>
    <phoneticPr fontId="5"/>
  </si>
  <si>
    <t>履歴</t>
    <phoneticPr fontId="5"/>
  </si>
  <si>
    <t/>
  </si>
  <si>
    <t>原因</t>
    <phoneticPr fontId="5"/>
  </si>
  <si>
    <t>対策</t>
    <phoneticPr fontId="5"/>
  </si>
  <si>
    <t>不具合報告書</t>
    <rPh sb="0" eb="3">
      <t>フグアイ</t>
    </rPh>
    <rPh sb="3" eb="6">
      <t>ホウコクショ</t>
    </rPh>
    <phoneticPr fontId="5"/>
  </si>
  <si>
    <t>承認</t>
    <rPh sb="0" eb="2">
      <t>ショウニン</t>
    </rPh>
    <phoneticPr fontId="5"/>
  </si>
  <si>
    <t>作成</t>
    <rPh sb="0" eb="2">
      <t>サクセイ</t>
    </rPh>
    <phoneticPr fontId="5"/>
  </si>
  <si>
    <t>完了日</t>
    <rPh sb="0" eb="3">
      <t>カンリョウビ</t>
    </rPh>
    <phoneticPr fontId="5"/>
  </si>
  <si>
    <t>2/2</t>
    <phoneticPr fontId="5"/>
  </si>
  <si>
    <t>添付資料の有無</t>
  </si>
  <si>
    <t>□あり　　■なし</t>
    <phoneticPr fontId="5"/>
  </si>
  <si>
    <t>【原因の特定】</t>
    <rPh sb="1" eb="3">
      <t>ゲンイン</t>
    </rPh>
    <rPh sb="4" eb="6">
      <t>トクテイ</t>
    </rPh>
    <phoneticPr fontId="5"/>
  </si>
  <si>
    <t>（確認事項）</t>
    <phoneticPr fontId="5"/>
  </si>
  <si>
    <t>株式会社クローネ</t>
    <phoneticPr fontId="5"/>
  </si>
  <si>
    <t>添付文書</t>
    <rPh sb="0" eb="2">
      <t>テンプ</t>
    </rPh>
    <rPh sb="2" eb="4">
      <t>ブンショ</t>
    </rPh>
    <phoneticPr fontId="5"/>
  </si>
  <si>
    <t>製番</t>
  </si>
  <si>
    <t>品目名</t>
  </si>
  <si>
    <t>電話番号</t>
  </si>
  <si>
    <t>担当者名称</t>
  </si>
  <si>
    <t>部門名称</t>
  </si>
  <si>
    <r>
      <rPr>
        <strike/>
        <sz val="11"/>
        <color theme="1"/>
        <rFont val="游ゴシック"/>
        <family val="3"/>
        <charset val="128"/>
        <scheme val="minor"/>
      </rPr>
      <t>品目コード</t>
    </r>
    <r>
      <rPr>
        <sz val="11"/>
        <color theme="1"/>
        <rFont val="游ゴシック"/>
        <family val="2"/>
        <charset val="128"/>
        <scheme val="minor"/>
      </rPr>
      <t>品目名fj</t>
    </r>
    <rPh sb="0" eb="2">
      <t>ヒンモク</t>
    </rPh>
    <phoneticPr fontId="5"/>
  </si>
  <si>
    <r>
      <rPr>
        <strike/>
        <sz val="11"/>
        <color theme="1"/>
        <rFont val="游ゴシック"/>
        <family val="3"/>
        <charset val="128"/>
        <scheme val="minor"/>
      </rPr>
      <t>納入先コード</t>
    </r>
    <r>
      <rPr>
        <sz val="11"/>
        <color theme="1"/>
        <rFont val="游ゴシック"/>
        <family val="2"/>
        <charset val="128"/>
        <scheme val="minor"/>
      </rPr>
      <t>納品先名称</t>
    </r>
    <r>
      <rPr>
        <sz val="11"/>
        <color theme="1"/>
        <rFont val="游ゴシック"/>
        <family val="3"/>
        <charset val="128"/>
        <scheme val="minor"/>
      </rPr>
      <t>fj</t>
    </r>
    <rPh sb="0" eb="3">
      <t>ノウニュウサキ</t>
    </rPh>
    <phoneticPr fontId="5"/>
  </si>
  <si>
    <r>
      <rPr>
        <strike/>
        <sz val="11"/>
        <color theme="1"/>
        <rFont val="游ゴシック"/>
        <family val="3"/>
        <charset val="128"/>
        <scheme val="minor"/>
      </rPr>
      <t>得意先コード</t>
    </r>
    <r>
      <rPr>
        <sz val="11"/>
        <color theme="1"/>
        <rFont val="游ゴシック"/>
        <family val="2"/>
        <charset val="128"/>
        <scheme val="minor"/>
      </rPr>
      <t>得意先名称１</t>
    </r>
    <r>
      <rPr>
        <sz val="11"/>
        <color theme="1"/>
        <rFont val="游ゴシック"/>
        <family val="3"/>
        <charset val="128"/>
        <scheme val="minor"/>
      </rPr>
      <t>fj</t>
    </r>
    <rPh sb="0" eb="3">
      <t>トクイサキ</t>
    </rPh>
    <phoneticPr fontId="5"/>
  </si>
  <si>
    <t>受注№fj</t>
    <phoneticPr fontId="5"/>
  </si>
  <si>
    <t>部門名称fj</t>
    <phoneticPr fontId="5"/>
  </si>
  <si>
    <r>
      <rPr>
        <strike/>
        <sz val="9"/>
        <color theme="1"/>
        <rFont val="游ゴシック"/>
        <family val="3"/>
        <charset val="128"/>
        <scheme val="minor"/>
      </rPr>
      <t>受付担当</t>
    </r>
    <r>
      <rPr>
        <sz val="9"/>
        <color theme="1"/>
        <rFont val="游ゴシック"/>
        <family val="2"/>
        <charset val="128"/>
        <scheme val="minor"/>
      </rPr>
      <t>担当者名称</t>
    </r>
    <r>
      <rPr>
        <sz val="9"/>
        <color theme="1"/>
        <rFont val="游ゴシック"/>
        <family val="3"/>
        <charset val="128"/>
        <scheme val="minor"/>
      </rPr>
      <t>fj</t>
    </r>
    <rPh sb="0" eb="2">
      <t>ウケツケ</t>
    </rPh>
    <rPh sb="2" eb="4">
      <t>タントウ</t>
    </rPh>
    <phoneticPr fontId="5"/>
  </si>
  <si>
    <t>製番fj</t>
    <rPh sb="0" eb="2">
      <t>セイバン</t>
    </rPh>
    <phoneticPr fontId="5"/>
  </si>
  <si>
    <t>品目ｺｰﾄﾞfj</t>
    <rPh sb="0" eb="2">
      <t>ヒンモク</t>
    </rPh>
    <phoneticPr fontId="5"/>
  </si>
  <si>
    <t>電話番号fj</t>
    <rPh sb="0" eb="2">
      <t>デンワ</t>
    </rPh>
    <rPh sb="2" eb="4">
      <t>バンゴウ</t>
    </rPh>
    <phoneticPr fontId="5"/>
  </si>
  <si>
    <r>
      <rPr>
        <strike/>
        <sz val="11"/>
        <color theme="1"/>
        <rFont val="游ゴシック"/>
        <family val="3"/>
        <charset val="128"/>
        <scheme val="minor"/>
      </rPr>
      <t>納入日</t>
    </r>
    <r>
      <rPr>
        <sz val="11"/>
        <color theme="1"/>
        <rFont val="游ゴシック"/>
        <family val="2"/>
        <charset val="128"/>
        <scheme val="minor"/>
      </rPr>
      <t>納期日fj</t>
    </r>
    <rPh sb="0" eb="3">
      <t>ノウニュウビ</t>
    </rPh>
    <rPh sb="3" eb="6">
      <t>ノウキビ</t>
    </rPh>
    <phoneticPr fontId="5"/>
  </si>
  <si>
    <t>S/Nfj</t>
    <phoneticPr fontId="5"/>
  </si>
  <si>
    <t>確認事項</t>
    <rPh sb="0" eb="2">
      <t>カクニン</t>
    </rPh>
    <rPh sb="2" eb="4">
      <t>ジコウ</t>
    </rPh>
    <phoneticPr fontId="5"/>
  </si>
  <si>
    <t>見積り要否▼</t>
    <phoneticPr fontId="5"/>
  </si>
  <si>
    <t>修理要否▼</t>
    <phoneticPr fontId="5"/>
  </si>
  <si>
    <t>返却要否▼</t>
    <rPh sb="2" eb="4">
      <t>ヨウヒ</t>
    </rPh>
    <phoneticPr fontId="5"/>
  </si>
  <si>
    <t>修理･調整の可否　（代替の要否）▼</t>
    <rPh sb="0" eb="2">
      <t>シュウリ</t>
    </rPh>
    <rPh sb="3" eb="5">
      <t>チョウセイ</t>
    </rPh>
    <rPh sb="6" eb="8">
      <t>カヒ</t>
    </rPh>
    <rPh sb="10" eb="12">
      <t>ダイタイ</t>
    </rPh>
    <rPh sb="13" eb="15">
      <t>ヨウヒ</t>
    </rPh>
    <phoneticPr fontId="5"/>
  </si>
  <si>
    <t>波及性　（重要度）▼</t>
    <rPh sb="0" eb="3">
      <t>ハキュウセイ</t>
    </rPh>
    <rPh sb="5" eb="8">
      <t>ジュウヨウド</t>
    </rPh>
    <phoneticPr fontId="5"/>
  </si>
  <si>
    <t>結論</t>
    <rPh sb="0" eb="2">
      <t>ケツロン</t>
    </rPh>
    <phoneticPr fontId="5"/>
  </si>
  <si>
    <t>対策要否▼</t>
    <rPh sb="0" eb="2">
      <t>タイサク</t>
    </rPh>
    <rPh sb="2" eb="4">
      <t>ヨウヒ</t>
    </rPh>
    <phoneticPr fontId="5"/>
  </si>
  <si>
    <t>見積要否</t>
    <rPh sb="0" eb="2">
      <t>ミツモリ</t>
    </rPh>
    <rPh sb="2" eb="4">
      <t>ヨウヒ</t>
    </rPh>
    <phoneticPr fontId="5"/>
  </si>
  <si>
    <t>修理要否</t>
    <rPh sb="0" eb="2">
      <t>シュウリ</t>
    </rPh>
    <rPh sb="2" eb="4">
      <t>ヨウヒ</t>
    </rPh>
    <phoneticPr fontId="5"/>
  </si>
  <si>
    <t>返却要否</t>
    <rPh sb="0" eb="2">
      <t>ヘンキャク</t>
    </rPh>
    <rPh sb="2" eb="4">
      <t>ヨウヒ</t>
    </rPh>
    <phoneticPr fontId="5"/>
  </si>
  <si>
    <t>対策要否</t>
    <rPh sb="0" eb="2">
      <t>タイサク</t>
    </rPh>
    <rPh sb="2" eb="4">
      <t>ヨウヒ</t>
    </rPh>
    <phoneticPr fontId="5"/>
  </si>
  <si>
    <t>見積不要</t>
    <rPh sb="0" eb="2">
      <t>ミツモリ</t>
    </rPh>
    <rPh sb="2" eb="4">
      <t>フヨウ</t>
    </rPh>
    <phoneticPr fontId="5"/>
  </si>
  <si>
    <t>見積必要</t>
    <rPh sb="0" eb="2">
      <t>ミツモリ</t>
    </rPh>
    <rPh sb="2" eb="4">
      <t>ヒツヨウ</t>
    </rPh>
    <phoneticPr fontId="5"/>
  </si>
  <si>
    <t>修理必要</t>
    <rPh sb="0" eb="2">
      <t>シュウリ</t>
    </rPh>
    <rPh sb="2" eb="4">
      <t>ヒツヨウ</t>
    </rPh>
    <phoneticPr fontId="5"/>
  </si>
  <si>
    <t>修理不要</t>
    <rPh sb="0" eb="2">
      <t>シュウリ</t>
    </rPh>
    <rPh sb="2" eb="4">
      <t>フヨウ</t>
    </rPh>
    <phoneticPr fontId="5"/>
  </si>
  <si>
    <t>返却希望</t>
    <rPh sb="0" eb="2">
      <t>ヘンキャク</t>
    </rPh>
    <rPh sb="2" eb="4">
      <t>キボウ</t>
    </rPh>
    <phoneticPr fontId="5"/>
  </si>
  <si>
    <t>返却不要</t>
    <rPh sb="0" eb="2">
      <t>ヘンキャク</t>
    </rPh>
    <rPh sb="2" eb="4">
      <t>フヨウ</t>
    </rPh>
    <phoneticPr fontId="5"/>
  </si>
  <si>
    <t>pre_DB_ID</t>
    <phoneticPr fontId="5"/>
  </si>
  <si>
    <t>分類入力</t>
    <rPh sb="0" eb="2">
      <t>ブンルイ</t>
    </rPh>
    <rPh sb="2" eb="4">
      <t>ニュウリョク</t>
    </rPh>
    <phoneticPr fontId="5"/>
  </si>
  <si>
    <t>ゼロ点シフト</t>
    <rPh sb="2" eb="3">
      <t>テン</t>
    </rPh>
    <phoneticPr fontId="5"/>
  </si>
  <si>
    <t>センサー故障</t>
    <rPh sb="4" eb="6">
      <t>コショウ</t>
    </rPh>
    <phoneticPr fontId="5"/>
  </si>
  <si>
    <t>分類入力▼</t>
    <rPh sb="0" eb="2">
      <t>ブンルイ</t>
    </rPh>
    <rPh sb="2" eb="4">
      <t>ニュウリョク</t>
    </rPh>
    <phoneticPr fontId="5"/>
  </si>
  <si>
    <t>得意先名称</t>
    <phoneticPr fontId="5"/>
  </si>
  <si>
    <t>結論</t>
    <phoneticPr fontId="5"/>
  </si>
  <si>
    <t>納入日</t>
    <rPh sb="0" eb="3">
      <t>ノウニュウビ</t>
    </rPh>
    <phoneticPr fontId="5"/>
  </si>
  <si>
    <t>エスカレ選択</t>
    <rPh sb="4" eb="6">
      <t>センタク</t>
    </rPh>
    <phoneticPr fontId="5"/>
  </si>
  <si>
    <t>受付</t>
  </si>
  <si>
    <t>場所</t>
    <phoneticPr fontId="5"/>
  </si>
  <si>
    <t>得意先コード検索</t>
    <phoneticPr fontId="5"/>
  </si>
  <si>
    <t>品目コード</t>
    <rPh sb="0" eb="2">
      <t>ヒンモク</t>
    </rPh>
    <phoneticPr fontId="5"/>
  </si>
  <si>
    <t>最終承認者</t>
    <rPh sb="0" eb="2">
      <t>サイシュウ</t>
    </rPh>
    <rPh sb="2" eb="5">
      <t>ショウニンシャ</t>
    </rPh>
    <phoneticPr fontId="5"/>
  </si>
  <si>
    <t>エスカレ情報不足時</t>
    <rPh sb="4" eb="6">
      <t>ジョウホウ</t>
    </rPh>
    <rPh sb="6" eb="8">
      <t>フソク</t>
    </rPh>
    <rPh sb="8" eb="9">
      <t>ジ</t>
    </rPh>
    <phoneticPr fontId="5"/>
  </si>
  <si>
    <t>不具合自責/他責</t>
    <rPh sb="0" eb="3">
      <t>フグアイ</t>
    </rPh>
    <rPh sb="3" eb="5">
      <t>ジセキ</t>
    </rPh>
    <rPh sb="6" eb="8">
      <t>タセキ</t>
    </rPh>
    <phoneticPr fontId="5"/>
  </si>
  <si>
    <t>1/2</t>
    <phoneticPr fontId="5"/>
  </si>
  <si>
    <t>A</t>
    <phoneticPr fontId="5"/>
  </si>
  <si>
    <t>α要望</t>
    <rPh sb="1" eb="3">
      <t>ヨウボウ</t>
    </rPh>
    <phoneticPr fontId="5"/>
  </si>
  <si>
    <t>δ操作仕様不明</t>
    <rPh sb="1" eb="3">
      <t>ソウサ</t>
    </rPh>
    <rPh sb="3" eb="5">
      <t>シヨウ</t>
    </rPh>
    <rPh sb="5" eb="7">
      <t>フメイ</t>
    </rPh>
    <phoneticPr fontId="5"/>
  </si>
  <si>
    <t>B</t>
    <phoneticPr fontId="5"/>
  </si>
  <si>
    <t>C</t>
    <phoneticPr fontId="5"/>
  </si>
  <si>
    <t>要求事項選択肢</t>
    <rPh sb="0" eb="2">
      <t>ヨウキュウ</t>
    </rPh>
    <rPh sb="2" eb="4">
      <t>ジコウ</t>
    </rPh>
    <rPh sb="4" eb="7">
      <t>センタクシ</t>
    </rPh>
    <phoneticPr fontId="5"/>
  </si>
  <si>
    <t>α</t>
    <phoneticPr fontId="5"/>
  </si>
  <si>
    <t>β</t>
    <phoneticPr fontId="5"/>
  </si>
  <si>
    <t>γ</t>
    <phoneticPr fontId="5"/>
  </si>
  <si>
    <t>δ</t>
    <phoneticPr fontId="5"/>
  </si>
  <si>
    <t>要求記号</t>
    <rPh sb="0" eb="2">
      <t>ヨウキュウ</t>
    </rPh>
    <rPh sb="2" eb="4">
      <t>キゴウ</t>
    </rPh>
    <phoneticPr fontId="5"/>
  </si>
  <si>
    <t>要求記号</t>
    <phoneticPr fontId="5"/>
  </si>
  <si>
    <t>製品ｶﾃｺﾞﾘ記号</t>
    <rPh sb="0" eb="2">
      <t>セイヒン</t>
    </rPh>
    <rPh sb="7" eb="9">
      <t>キゴウ</t>
    </rPh>
    <phoneticPr fontId="5"/>
  </si>
  <si>
    <t>社内_KDM系</t>
    <phoneticPr fontId="5"/>
  </si>
  <si>
    <t>KDM30標準</t>
  </si>
  <si>
    <t>DM3001</t>
    <phoneticPr fontId="5"/>
  </si>
  <si>
    <t>社内_KS系</t>
    <phoneticPr fontId="5"/>
  </si>
  <si>
    <t>KDM30BT</t>
  </si>
  <si>
    <t>DM3002</t>
    <phoneticPr fontId="5"/>
  </si>
  <si>
    <t>社内_その他</t>
    <phoneticPr fontId="5"/>
  </si>
  <si>
    <t>KDM30MW2.4</t>
  </si>
  <si>
    <t>DM3003</t>
  </si>
  <si>
    <t>社内_無線</t>
    <phoneticPr fontId="5"/>
  </si>
  <si>
    <t xml:space="preserve">KDM30MW920 </t>
  </si>
  <si>
    <t>DM3004</t>
  </si>
  <si>
    <t>社内_開発中</t>
    <phoneticPr fontId="5"/>
  </si>
  <si>
    <t>KDM30BT（BS下関）</t>
  </si>
  <si>
    <t>DM3005</t>
  </si>
  <si>
    <t>社外_調整有</t>
    <rPh sb="0" eb="2">
      <t>シャガイ</t>
    </rPh>
    <rPh sb="3" eb="5">
      <t>チョウセイ</t>
    </rPh>
    <rPh sb="5" eb="6">
      <t>ア</t>
    </rPh>
    <phoneticPr fontId="5"/>
  </si>
  <si>
    <t>KDM30積雪</t>
  </si>
  <si>
    <t>DM3006</t>
  </si>
  <si>
    <t>社外_調整無</t>
    <rPh sb="0" eb="2">
      <t>シャガイ</t>
    </rPh>
    <rPh sb="3" eb="5">
      <t>チョウセイ</t>
    </rPh>
    <rPh sb="5" eb="6">
      <t>ナ</t>
    </rPh>
    <phoneticPr fontId="5"/>
  </si>
  <si>
    <t>KDM30HS</t>
  </si>
  <si>
    <t>DM3007</t>
  </si>
  <si>
    <t>KDM30社内_その他特殊仕様</t>
  </si>
  <si>
    <t>DM300Z</t>
    <phoneticPr fontId="5"/>
  </si>
  <si>
    <t>KNS70</t>
  </si>
  <si>
    <t>NS7001</t>
    <phoneticPr fontId="5"/>
  </si>
  <si>
    <t>KS2700</t>
  </si>
  <si>
    <t>S27001</t>
    <phoneticPr fontId="5"/>
  </si>
  <si>
    <t>KS2800</t>
  </si>
  <si>
    <t>S28001</t>
    <phoneticPr fontId="5"/>
  </si>
  <si>
    <t>KS2900</t>
  </si>
  <si>
    <t>S29001</t>
    <phoneticPr fontId="5"/>
  </si>
  <si>
    <t>KS2900E-con</t>
  </si>
  <si>
    <t>S29002</t>
    <phoneticPr fontId="5"/>
  </si>
  <si>
    <t>KSM801</t>
  </si>
  <si>
    <t>SM8001</t>
    <phoneticPr fontId="5"/>
  </si>
  <si>
    <t>社内_その他特殊仕様</t>
  </si>
  <si>
    <t>S2900Z</t>
    <phoneticPr fontId="5"/>
  </si>
  <si>
    <t>P-3000</t>
  </si>
  <si>
    <t>P30001</t>
    <phoneticPr fontId="5"/>
  </si>
  <si>
    <t>KPT-100</t>
  </si>
  <si>
    <t>PT1001</t>
    <phoneticPr fontId="5"/>
  </si>
  <si>
    <t>EEXP</t>
  </si>
  <si>
    <t>EEXP01</t>
    <phoneticPr fontId="5"/>
  </si>
  <si>
    <t>KAW20920</t>
  </si>
  <si>
    <t>AW0001</t>
    <phoneticPr fontId="5"/>
  </si>
  <si>
    <t>KAW202.4</t>
  </si>
  <si>
    <t>AW0002</t>
    <phoneticPr fontId="5"/>
  </si>
  <si>
    <t>KWR20920</t>
  </si>
  <si>
    <t>WR0001</t>
    <phoneticPr fontId="5"/>
  </si>
  <si>
    <t>KWR202.4</t>
  </si>
  <si>
    <t>WR0002</t>
  </si>
  <si>
    <t>KAW24920</t>
  </si>
  <si>
    <t>AW4001</t>
    <phoneticPr fontId="5"/>
  </si>
  <si>
    <t>KAW242.4</t>
  </si>
  <si>
    <t>AW4002</t>
  </si>
  <si>
    <t>KPS20</t>
  </si>
  <si>
    <t>PS2001</t>
    <phoneticPr fontId="5"/>
  </si>
  <si>
    <t>KPS0</t>
  </si>
  <si>
    <t>PS5001</t>
    <phoneticPr fontId="5"/>
  </si>
  <si>
    <t>KS3200標準</t>
  </si>
  <si>
    <t>S32001</t>
    <phoneticPr fontId="5"/>
  </si>
  <si>
    <t>KS3200MW920</t>
  </si>
  <si>
    <t>S32002</t>
  </si>
  <si>
    <t>KS3200MW2.4</t>
  </si>
  <si>
    <t>S32003</t>
  </si>
  <si>
    <t>KS3200BLE</t>
  </si>
  <si>
    <t>S32004</t>
  </si>
  <si>
    <t>KS3200RS</t>
  </si>
  <si>
    <t>S32005</t>
  </si>
  <si>
    <t>KS3200IO-LINK</t>
  </si>
  <si>
    <t>S32006</t>
  </si>
  <si>
    <t>KSM901標準</t>
  </si>
  <si>
    <t>SM9001</t>
    <phoneticPr fontId="5"/>
  </si>
  <si>
    <t>KSM901MW920</t>
  </si>
  <si>
    <t>SM9002</t>
  </si>
  <si>
    <t>KSM901MW2.4</t>
  </si>
  <si>
    <t>SM9003</t>
  </si>
  <si>
    <t>KSM901BLE</t>
  </si>
  <si>
    <t>SM9004</t>
  </si>
  <si>
    <t>KSM901RS</t>
  </si>
  <si>
    <t>SM9005</t>
  </si>
  <si>
    <t>KSM901IO-LINK</t>
  </si>
  <si>
    <t>SM9006</t>
  </si>
  <si>
    <t>KDM30α標準</t>
  </si>
  <si>
    <t>DM3101</t>
    <phoneticPr fontId="5"/>
  </si>
  <si>
    <t>KDM30αMW920</t>
  </si>
  <si>
    <t>DM3102</t>
  </si>
  <si>
    <t>KDM30αMW2.4</t>
  </si>
  <si>
    <t>DM3103</t>
  </si>
  <si>
    <t>KDM30αBLE</t>
  </si>
  <si>
    <t>DM3104</t>
  </si>
  <si>
    <t>KDM30αRS</t>
  </si>
  <si>
    <t>DM3105</t>
  </si>
  <si>
    <t>KDM30αIO-LINK</t>
  </si>
  <si>
    <t>DM3106</t>
  </si>
  <si>
    <t>製品カテゴリ記号</t>
    <phoneticPr fontId="5"/>
  </si>
  <si>
    <t>製品名記号</t>
    <rPh sb="0" eb="3">
      <t>セイヒンメイ</t>
    </rPh>
    <rPh sb="3" eb="5">
      <t>キゴウ</t>
    </rPh>
    <phoneticPr fontId="5"/>
  </si>
  <si>
    <t>E</t>
    <phoneticPr fontId="5"/>
  </si>
  <si>
    <t>受付ID</t>
    <phoneticPr fontId="5"/>
  </si>
  <si>
    <t>原因品目検索</t>
    <rPh sb="0" eb="2">
      <t>ゲンイン</t>
    </rPh>
    <rPh sb="2" eb="4">
      <t>ヒンモク</t>
    </rPh>
    <rPh sb="4" eb="6">
      <t>ケンサク</t>
    </rPh>
    <phoneticPr fontId="5"/>
  </si>
  <si>
    <t>原因品目コード</t>
    <rPh sb="0" eb="2">
      <t>ゲンイン</t>
    </rPh>
    <rPh sb="2" eb="4">
      <t>ヒンモク</t>
    </rPh>
    <phoneticPr fontId="5"/>
  </si>
  <si>
    <t>原因品目名</t>
    <rPh sb="0" eb="2">
      <t>ゲンイン</t>
    </rPh>
    <rPh sb="2" eb="4">
      <t>ヒンモク</t>
    </rPh>
    <rPh sb="4" eb="5">
      <t>メイ</t>
    </rPh>
    <phoneticPr fontId="5"/>
  </si>
  <si>
    <t>品目検索</t>
    <rPh sb="0" eb="2">
      <t>ヒンモク</t>
    </rPh>
    <rPh sb="2" eb="4">
      <t>ケンサク</t>
    </rPh>
    <phoneticPr fontId="5"/>
  </si>
  <si>
    <t>風神関係者</t>
    <rPh sb="0" eb="2">
      <t>フウジン</t>
    </rPh>
    <rPh sb="2" eb="5">
      <t>カンケイシャ</t>
    </rPh>
    <phoneticPr fontId="5"/>
  </si>
  <si>
    <t>tetsuya-doi@krone.co.jp;masaru-yoshida@krone.co.jp</t>
    <phoneticPr fontId="5"/>
  </si>
  <si>
    <t>tetsuya-doi@krone.co.jp</t>
    <phoneticPr fontId="5"/>
  </si>
  <si>
    <t>t-yotsukura@krone.co.jp;h.takahashi@krone.co.jp</t>
    <phoneticPr fontId="5"/>
  </si>
  <si>
    <t>自責</t>
    <rPh sb="0" eb="2">
      <t>ジセキ</t>
    </rPh>
    <phoneticPr fontId="5"/>
  </si>
  <si>
    <t>ユーザー責</t>
    <rPh sb="4" eb="5">
      <t>セキ</t>
    </rPh>
    <phoneticPr fontId="5"/>
  </si>
  <si>
    <t>t-yotsukura@krone.co.jp;h-araki@krone.co.jp</t>
    <phoneticPr fontId="5"/>
  </si>
  <si>
    <t>tetsuya-doi@krone.co.jp;taka-fujiwara@krone.co.jp;h-araki@krone.co.jp</t>
    <phoneticPr fontId="5"/>
  </si>
  <si>
    <t>h-araki@krone.co.jp;takashi-hyodo@krone.co.jp;h.takahashi@krone.co.jp;taka-fujiwara@krone.co.jp</t>
    <phoneticPr fontId="5"/>
  </si>
  <si>
    <t>品目リスト</t>
    <rPh sb="0" eb="2">
      <t>ヒンモク</t>
    </rPh>
    <phoneticPr fontId="5"/>
  </si>
  <si>
    <t>品目リスト</t>
    <phoneticPr fontId="5"/>
  </si>
  <si>
    <t>created_at</t>
    <phoneticPr fontId="5"/>
  </si>
  <si>
    <t>updated_at</t>
    <phoneticPr fontId="5"/>
  </si>
  <si>
    <t>回答希望日</t>
    <rPh sb="0" eb="2">
      <t>カイトウ</t>
    </rPh>
    <rPh sb="2" eb="5">
      <t>キボウビ</t>
    </rPh>
    <phoneticPr fontId="5"/>
  </si>
  <si>
    <t>回答予定日</t>
    <rPh sb="0" eb="2">
      <t>カイトウ</t>
    </rPh>
    <rPh sb="2" eb="4">
      <t>ヨテイ</t>
    </rPh>
    <rPh sb="4" eb="5">
      <t>ビ</t>
    </rPh>
    <phoneticPr fontId="5"/>
  </si>
  <si>
    <t>受注No.</t>
    <phoneticPr fontId="5"/>
  </si>
  <si>
    <t>納品先名称</t>
    <phoneticPr fontId="5"/>
  </si>
  <si>
    <t>製品ｶﾃｺﾞﾘ</t>
    <rPh sb="0" eb="2">
      <t>セイヒン</t>
    </rPh>
    <phoneticPr fontId="5"/>
  </si>
  <si>
    <t>製番</t>
    <rPh sb="0" eb="2">
      <t>セイバン</t>
    </rPh>
    <phoneticPr fontId="5"/>
  </si>
  <si>
    <t>営業担当</t>
    <rPh sb="0" eb="2">
      <t>エイギョウ</t>
    </rPh>
    <rPh sb="2" eb="4">
      <t>タントウ</t>
    </rPh>
    <phoneticPr fontId="5"/>
  </si>
  <si>
    <t>見積り要否</t>
    <rPh sb="0" eb="2">
      <t>ミツモ</t>
    </rPh>
    <rPh sb="3" eb="5">
      <t>ヨウヒ</t>
    </rPh>
    <phoneticPr fontId="5"/>
  </si>
  <si>
    <t>修理要否</t>
    <rPh sb="0" eb="2">
      <t>ミツモ</t>
    </rPh>
    <phoneticPr fontId="5"/>
  </si>
  <si>
    <t>対策の要否</t>
    <phoneticPr fontId="5"/>
  </si>
  <si>
    <t>波及性　（重要度）</t>
    <rPh sb="5" eb="8">
      <t>ジュウヨウド</t>
    </rPh>
    <phoneticPr fontId="5"/>
  </si>
  <si>
    <t>3/3</t>
    <phoneticPr fontId="5"/>
  </si>
  <si>
    <t>不良原因部品</t>
  </si>
  <si>
    <t>見積など情報</t>
  </si>
  <si>
    <t>重要度</t>
    <phoneticPr fontId="5"/>
  </si>
  <si>
    <t>不具合責</t>
    <phoneticPr fontId="5"/>
  </si>
  <si>
    <t>故障解析報告書</t>
    <rPh sb="0" eb="2">
      <t>コショウ</t>
    </rPh>
    <rPh sb="2" eb="4">
      <t>カイセキ</t>
    </rPh>
    <phoneticPr fontId="5"/>
  </si>
  <si>
    <t>β不具合･解析</t>
    <rPh sb="1" eb="4">
      <t>フグアイ</t>
    </rPh>
    <rPh sb="5" eb="7">
      <t>カイセキ</t>
    </rPh>
    <phoneticPr fontId="5"/>
  </si>
  <si>
    <t>未定</t>
    <rPh sb="0" eb="2">
      <t>ミテイ</t>
    </rPh>
    <phoneticPr fontId="5"/>
  </si>
  <si>
    <t>過回転</t>
    <rPh sb="0" eb="1">
      <t>ス</t>
    </rPh>
    <rPh sb="1" eb="3">
      <t>カイテン</t>
    </rPh>
    <phoneticPr fontId="5"/>
  </si>
  <si>
    <t>小</t>
    <rPh sb="0" eb="1">
      <t>ショウ</t>
    </rPh>
    <phoneticPr fontId="5"/>
  </si>
  <si>
    <t>中</t>
    <rPh sb="0" eb="1">
      <t>チュウ</t>
    </rPh>
    <phoneticPr fontId="5"/>
  </si>
  <si>
    <t>大</t>
    <rPh sb="0" eb="1">
      <t>ダイ</t>
    </rPh>
    <phoneticPr fontId="5"/>
  </si>
  <si>
    <t>営業</t>
    <rPh sb="0" eb="2">
      <t>エイギョウ</t>
    </rPh>
    <phoneticPr fontId="5"/>
  </si>
  <si>
    <t>技術</t>
    <rPh sb="0" eb="2">
      <t>ギジュツ</t>
    </rPh>
    <phoneticPr fontId="5"/>
  </si>
  <si>
    <t>製造</t>
    <rPh sb="0" eb="2">
      <t>セイゾウ</t>
    </rPh>
    <phoneticPr fontId="5"/>
  </si>
  <si>
    <t>関連会社</t>
    <rPh sb="0" eb="2">
      <t>カンレン</t>
    </rPh>
    <rPh sb="2" eb="4">
      <t>ガイシャ</t>
    </rPh>
    <phoneticPr fontId="5"/>
  </si>
  <si>
    <t xml:space="preserve">現象 </t>
    <rPh sb="0" eb="2">
      <t>ゲンショウ</t>
    </rPh>
    <phoneticPr fontId="5"/>
  </si>
  <si>
    <t>発生場所</t>
  </si>
  <si>
    <t>品目名／
　シリアルNo</t>
  </si>
  <si>
    <t>電話番号</t>
    <rPh sb="0" eb="2">
      <t>デンワ</t>
    </rPh>
    <rPh sb="2" eb="4">
      <t>バンゴウ</t>
    </rPh>
    <phoneticPr fontId="5"/>
  </si>
  <si>
    <t>受付ID</t>
  </si>
  <si>
    <t>受注No</t>
  </si>
  <si>
    <t>受付日</t>
  </si>
  <si>
    <t>得意先検索</t>
  </si>
  <si>
    <t>得意先名称</t>
  </si>
  <si>
    <t>納入先名称</t>
  </si>
  <si>
    <t>製品カテゴリ</t>
  </si>
  <si>
    <t>製品名</t>
  </si>
  <si>
    <t>品目検索</t>
  </si>
  <si>
    <t>品目コード</t>
  </si>
  <si>
    <t>シリアルナンバ</t>
  </si>
  <si>
    <t>納入日</t>
  </si>
  <si>
    <t>件名</t>
  </si>
  <si>
    <t>現象</t>
  </si>
  <si>
    <t>確認事項</t>
  </si>
  <si>
    <t>分類入力</t>
  </si>
  <si>
    <t>発生日</t>
  </si>
  <si>
    <t>見積要否</t>
  </si>
  <si>
    <t>修理要否</t>
  </si>
  <si>
    <t>返却要否</t>
  </si>
  <si>
    <t>エスカレ選択</t>
  </si>
  <si>
    <t>処置内容</t>
  </si>
  <si>
    <t>預品処置</t>
  </si>
  <si>
    <t>最終承認者</t>
  </si>
  <si>
    <t>エスカレ情報不足</t>
  </si>
  <si>
    <t>自責ユーザー責</t>
  </si>
  <si>
    <t>修理調整の可否</t>
  </si>
  <si>
    <t>ユーザー責時見積情報</t>
  </si>
  <si>
    <t>原因</t>
  </si>
  <si>
    <t>原因品目検索</t>
  </si>
  <si>
    <t>原因品目コード</t>
  </si>
  <si>
    <t>原因品目名</t>
  </si>
  <si>
    <t>結論</t>
  </si>
  <si>
    <t>対策要否</t>
  </si>
  <si>
    <t>対策</t>
  </si>
  <si>
    <t>重要度</t>
  </si>
  <si>
    <t>添付ファイル</t>
  </si>
  <si>
    <t>対策担当</t>
  </si>
  <si>
    <t>対策承認</t>
  </si>
  <si>
    <t>回答希望日</t>
  </si>
  <si>
    <t>回答予定日</t>
  </si>
  <si>
    <t>発信者</t>
  </si>
  <si>
    <t>履歴</t>
  </si>
  <si>
    <t>preDB_ID</t>
  </si>
  <si>
    <t>created_at</t>
  </si>
  <si>
    <t>updated_at</t>
  </si>
  <si>
    <t>品目リスト</t>
  </si>
  <si>
    <t>修理･調整の可否</t>
    <phoneticPr fontId="5"/>
  </si>
  <si>
    <t>なし</t>
    <phoneticPr fontId="5"/>
  </si>
  <si>
    <t>上田　哲矢</t>
  </si>
  <si>
    <t>営業</t>
  </si>
  <si>
    <t>大井　拓磨</t>
  </si>
  <si>
    <t>岡部　志郎</t>
  </si>
  <si>
    <t>加藤　祥</t>
  </si>
  <si>
    <t>下野　正博</t>
  </si>
  <si>
    <t>瀬川　晃一</t>
  </si>
  <si>
    <t>玉造　亮子</t>
  </si>
  <si>
    <t>土井　哲也</t>
  </si>
  <si>
    <t>中野　温美</t>
  </si>
  <si>
    <t>仲村　卓郎</t>
  </si>
  <si>
    <t>兵働　隆</t>
  </si>
  <si>
    <t>福井　淳一</t>
  </si>
  <si>
    <t>藤原　崇寛</t>
  </si>
  <si>
    <t>堀田　亜矢子</t>
  </si>
  <si>
    <t>松葉　歩美</t>
  </si>
  <si>
    <t>荒田　展榮</t>
  </si>
  <si>
    <t>大平　厚志</t>
  </si>
  <si>
    <t>尾崎　英人</t>
  </si>
  <si>
    <t>上口　未来</t>
  </si>
  <si>
    <t>平木　勝</t>
  </si>
  <si>
    <t>岩脇　健</t>
  </si>
  <si>
    <t>技術</t>
  </si>
  <si>
    <t>加藤　英輝</t>
  </si>
  <si>
    <t>前田　昭浩</t>
  </si>
  <si>
    <t>松谷　誠</t>
  </si>
  <si>
    <t>山下　悠司</t>
  </si>
  <si>
    <t>吉田　勝</t>
  </si>
  <si>
    <t>荒木　浩</t>
  </si>
  <si>
    <t>製造</t>
  </si>
  <si>
    <t>高橋　日出拡</t>
  </si>
  <si>
    <t>田中　彪雅</t>
  </si>
  <si>
    <t>徳永　恵理</t>
  </si>
  <si>
    <t>新岡　理央</t>
  </si>
  <si>
    <t>四倉　徹</t>
  </si>
  <si>
    <t>佐々木　陽子</t>
  </si>
  <si>
    <t>総務</t>
  </si>
  <si>
    <t>杉田　ゆみか</t>
  </si>
  <si>
    <t>藤原　透</t>
  </si>
  <si>
    <t>山下　美幸</t>
  </si>
  <si>
    <t>所属</t>
    <rPh sb="0" eb="2">
      <t>ショゾク</t>
    </rPh>
    <phoneticPr fontId="5"/>
  </si>
  <si>
    <t>メンバー</t>
    <phoneticPr fontId="5"/>
  </si>
  <si>
    <t>岡部志郎</t>
  </si>
  <si>
    <t>下野正博</t>
  </si>
  <si>
    <t>玉造亮子</t>
  </si>
  <si>
    <t>上田哲矢</t>
  </si>
  <si>
    <t>瀬川晃一</t>
  </si>
  <si>
    <t>大井拓磨</t>
  </si>
  <si>
    <t>仲村卓郎</t>
  </si>
  <si>
    <t>土井哲也</t>
  </si>
  <si>
    <t>藤原崇寛</t>
  </si>
  <si>
    <t>兵働隆</t>
  </si>
  <si>
    <t>堀田亜矢子</t>
  </si>
  <si>
    <t>加藤英輝</t>
  </si>
  <si>
    <t>吉田勝</t>
  </si>
  <si>
    <t>山下悠司</t>
  </si>
  <si>
    <t>松谷誠</t>
  </si>
  <si>
    <t>荒木浩</t>
  </si>
  <si>
    <t>高橋日出拡</t>
  </si>
  <si>
    <t>四倉徹</t>
  </si>
  <si>
    <t>佐々木陽子</t>
  </si>
  <si>
    <t>杉田ゆみか</t>
  </si>
  <si>
    <t>藤原透</t>
  </si>
  <si>
    <t>上口未来</t>
  </si>
  <si>
    <t>大平厚志</t>
  </si>
  <si>
    <t>尾崎英人</t>
  </si>
  <si>
    <t>平木勝</t>
  </si>
  <si>
    <t>営業部</t>
  </si>
  <si>
    <t>技術部</t>
  </si>
  <si>
    <t>製造部</t>
  </si>
  <si>
    <t>総務部</t>
  </si>
  <si>
    <t>営業技術1課</t>
  </si>
  <si>
    <t>上田</t>
  </si>
  <si>
    <t>社内_KDM系</t>
  </si>
  <si>
    <t>KS</t>
  </si>
  <si>
    <t>見積必要</t>
  </si>
  <si>
    <t>修理必要</t>
  </si>
  <si>
    <t>返却希望</t>
  </si>
  <si>
    <t>γ修理･点検</t>
  </si>
  <si>
    <t>自責</t>
  </si>
  <si>
    <t>修理･調整可能</t>
  </si>
  <si>
    <t>加藤</t>
  </si>
  <si>
    <t>四倉</t>
  </si>
  <si>
    <t>なし</t>
  </si>
  <si>
    <t>吉田</t>
  </si>
  <si>
    <t>masaru-yoshida@krone.co.jp</t>
  </si>
  <si>
    <t>社内_KS系</t>
  </si>
  <si>
    <t>見積不要</t>
  </si>
  <si>
    <t>修理不要</t>
  </si>
  <si>
    <t>返却不要</t>
  </si>
  <si>
    <t>β不具合･解析</t>
  </si>
  <si>
    <t>ユーザー責</t>
  </si>
  <si>
    <t>大阪支店</t>
  </si>
  <si>
    <t>大平</t>
  </si>
  <si>
    <t>アズワン株式会社</t>
  </si>
  <si>
    <t>未定</t>
  </si>
  <si>
    <t>t-yotsukura@krone.co.jp</t>
  </si>
  <si>
    <t>atsushi-ohira@krone.co.jp</t>
  </si>
  <si>
    <t>中</t>
  </si>
  <si>
    <t>2S4　大日本SCR株式会社 SE枚葉</t>
  </si>
  <si>
    <t>KS29F-INNNG,</t>
  </si>
  <si>
    <t>KS2900-1000Pa-I-N-N-N-G,</t>
  </si>
  <si>
    <t>アズワン</t>
  </si>
  <si>
    <t>m-hiraki@krone.co.jp</t>
  </si>
  <si>
    <t>ゼロ点シフト</t>
  </si>
  <si>
    <t>taka-fujiwara@krone.co.jp</t>
  </si>
  <si>
    <t>日立産機</t>
  </si>
  <si>
    <t>株式会社日立産機システム</t>
  </si>
  <si>
    <t>tetsuya-doi@krone.co.jp</t>
  </si>
  <si>
    <t>小</t>
  </si>
  <si>
    <t>,</t>
  </si>
  <si>
    <t>社内_その他</t>
  </si>
  <si>
    <t>KDM</t>
  </si>
  <si>
    <t>hideto-ozaki@krone.co.jp</t>
  </si>
  <si>
    <t>枚葉</t>
  </si>
  <si>
    <t>0点シフト</t>
  </si>
  <si>
    <t>受注確認書</t>
  </si>
  <si>
    <t>受注日付</t>
  </si>
  <si>
    <t>受注№</t>
  </si>
  <si>
    <t>得意先名称１</t>
  </si>
  <si>
    <t>得意先名称２</t>
  </si>
  <si>
    <t>納品先名称</t>
  </si>
  <si>
    <t>郵便番号</t>
  </si>
  <si>
    <t>住所１</t>
  </si>
  <si>
    <t>住所２</t>
  </si>
  <si>
    <t>荷受け人名１</t>
  </si>
  <si>
    <t>備考</t>
  </si>
  <si>
    <t>指定納品書</t>
  </si>
  <si>
    <t>出荷指示：分納可否</t>
  </si>
  <si>
    <t>E/U名</t>
  </si>
  <si>
    <t>出荷指示：添付品</t>
  </si>
  <si>
    <t>出荷指示：メモ①</t>
  </si>
  <si>
    <t>出荷指示：メモ②</t>
  </si>
  <si>
    <t>得意先メモ１</t>
  </si>
  <si>
    <t>得意先メモ２</t>
  </si>
  <si>
    <t>得意先メモ３</t>
  </si>
  <si>
    <t>営業技術3課</t>
  </si>
  <si>
    <t>販売月度</t>
  </si>
  <si>
    <t>仕入先略称</t>
  </si>
  <si>
    <t>型番</t>
  </si>
  <si>
    <t>受注数量</t>
  </si>
  <si>
    <t>受注単価</t>
  </si>
  <si>
    <t>受注金額</t>
  </si>
  <si>
    <t>原価金額</t>
  </si>
  <si>
    <t>仮粗利額</t>
  </si>
  <si>
    <t>仮粗利率</t>
  </si>
  <si>
    <t>客先注番</t>
  </si>
  <si>
    <t>作業</t>
  </si>
  <si>
    <t>発注金額</t>
  </si>
  <si>
    <t>納期日</t>
  </si>
  <si>
    <t>S/N</t>
  </si>
  <si>
    <t>外国語型番</t>
  </si>
  <si>
    <t>品目ｺｰﾄﾞ</t>
  </si>
  <si>
    <t>倉庫ｺｰﾄﾞ</t>
  </si>
  <si>
    <t>倉庫チェック</t>
  </si>
  <si>
    <t>T</t>
  </si>
  <si>
    <t>23/05/29</t>
  </si>
  <si>
    <t>岡部</t>
  </si>
  <si>
    <t>スポット　現金・振込　xx01</t>
  </si>
  <si>
    <t>株式会社 アイエンター</t>
  </si>
  <si>
    <t>654-0102</t>
  </si>
  <si>
    <t>兵庫県神戸市須磨区東白川台3-16-19</t>
  </si>
  <si>
    <t>菅野 陸</t>
  </si>
  <si>
    <t>06-4708-6125</t>
  </si>
  <si>
    <t>株式会社 アイエンター 御中</t>
  </si>
  <si>
    <t>入金済み</t>
  </si>
  <si>
    <t>KR請求書・納品書：納品先に送付(出荷伝票不要)</t>
  </si>
  <si>
    <t>備考欄に　得意先名　御中　を記載/入金連絡後、売上処理</t>
  </si>
  <si>
    <t>伝票:入金済印→東京分KR売上伝票ﾊ総務課ﾍ/伝票郵送時:宛名ｼｰﾙ要</t>
  </si>
  <si>
    <t>直送先あり:伝票の送り先を営業メモに記載ください</t>
  </si>
  <si>
    <t>23/06</t>
  </si>
  <si>
    <t>K3G-0001A-RZ</t>
  </si>
  <si>
    <t>KDM30-1MPaG-A-RE-Z</t>
  </si>
  <si>
    <t>23/06/14</t>
  </si>
  <si>
    <t>J230500779-00</t>
  </si>
  <si>
    <t>K3#-A04</t>
  </si>
  <si>
    <t>KDM30 ﾜｲﾝ用穿孔針</t>
  </si>
  <si>
    <t>J230500780-00</t>
  </si>
  <si>
    <t>K3# A04</t>
  </si>
  <si>
    <t>ε</t>
    <phoneticPr fontId="5"/>
  </si>
  <si>
    <t>ε誤納入</t>
    <rPh sb="1" eb="2">
      <t>アヤマ</t>
    </rPh>
    <rPh sb="2" eb="4">
      <t>ノウニュウ</t>
    </rPh>
    <phoneticPr fontId="5"/>
  </si>
  <si>
    <t>A</t>
    <phoneticPr fontId="5"/>
  </si>
  <si>
    <t>B</t>
    <phoneticPr fontId="5"/>
  </si>
  <si>
    <t>C</t>
    <phoneticPr fontId="5"/>
  </si>
  <si>
    <t>t-yotsukura@krone.co.jp;eri-tokunaga@krone.co.jp</t>
    <phoneticPr fontId="5"/>
  </si>
  <si>
    <t>部門</t>
    <rPh sb="0" eb="2">
      <t>ブモン</t>
    </rPh>
    <phoneticPr fontId="5"/>
  </si>
  <si>
    <t>masaru-yoshida@krone.co.jp;m-matsuya@krone.co.jp;h-kato@krone.co.jp;y-honma@krone.co.jp;h-araki@krone.co.jp</t>
    <phoneticPr fontId="5"/>
  </si>
  <si>
    <t>田中 彪雅</t>
  </si>
  <si>
    <t>社長</t>
  </si>
  <si>
    <t>大井涼平</t>
  </si>
  <si>
    <t>大西智美</t>
  </si>
  <si>
    <t>蟹江翔稀</t>
  </si>
  <si>
    <t>鈴木彩水</t>
  </si>
  <si>
    <t>内藤恵介</t>
  </si>
  <si>
    <t>本間裕規</t>
  </si>
  <si>
    <t>吉澤一浩</t>
  </si>
  <si>
    <t>未到着or調査前</t>
    <rPh sb="0" eb="3">
      <t>ミトウチャク</t>
    </rPh>
    <phoneticPr fontId="5"/>
  </si>
  <si>
    <t>調査･修理中</t>
    <rPh sb="0" eb="2">
      <t>チョウサ</t>
    </rPh>
    <rPh sb="3" eb="5">
      <t>シュウリ</t>
    </rPh>
    <rPh sb="5" eb="6">
      <t>チュウ</t>
    </rPh>
    <phoneticPr fontId="5"/>
  </si>
  <si>
    <t>返却済み</t>
    <rPh sb="0" eb="2">
      <t>ヘンキャク</t>
    </rPh>
    <rPh sb="2" eb="3">
      <t>ズ</t>
    </rPh>
    <phoneticPr fontId="5"/>
  </si>
  <si>
    <t>残留品有り</t>
    <rPh sb="0" eb="2">
      <t>ザンリュウ</t>
    </rPh>
    <rPh sb="2" eb="3">
      <t>ヒン</t>
    </rPh>
    <rPh sb="3" eb="4">
      <t>ア</t>
    </rPh>
    <phoneticPr fontId="5"/>
  </si>
  <si>
    <t>完了(残留品は廃棄可)</t>
    <rPh sb="0" eb="2">
      <t>カンリョウ</t>
    </rPh>
    <rPh sb="3" eb="5">
      <t>ザンリュウ</t>
    </rPh>
    <rPh sb="5" eb="6">
      <t>ヒン</t>
    </rPh>
    <rPh sb="7" eb="9">
      <t>ハイキ</t>
    </rPh>
    <rPh sb="9" eb="10">
      <t>カ</t>
    </rPh>
    <phoneticPr fontId="5"/>
  </si>
  <si>
    <t>完了(残留品は要返却)</t>
    <rPh sb="0" eb="2">
      <t>カンリョウ</t>
    </rPh>
    <rPh sb="3" eb="5">
      <t>ザンリュウ</t>
    </rPh>
    <rPh sb="5" eb="6">
      <t>ヒン</t>
    </rPh>
    <rPh sb="7" eb="8">
      <t>ヨウ</t>
    </rPh>
    <rPh sb="8" eb="10">
      <t>ヘンキャク</t>
    </rPh>
    <phoneticPr fontId="5"/>
  </si>
  <si>
    <t>完了(残留品なし)</t>
    <rPh sb="0" eb="2">
      <t>カンリョウ</t>
    </rPh>
    <rPh sb="3" eb="5">
      <t>ザンリュウ</t>
    </rPh>
    <rPh sb="5" eb="6">
      <t>ヒン</t>
    </rPh>
    <phoneticPr fontId="5"/>
  </si>
  <si>
    <t>t-ueda@krone.co.jp</t>
  </si>
  <si>
    <t>本間</t>
  </si>
  <si>
    <t>吉澤</t>
  </si>
  <si>
    <t>k-yoshizawa@krone.co.jp</t>
  </si>
  <si>
    <t>-</t>
    <phoneticPr fontId="5"/>
  </si>
  <si>
    <t>masaru-yoshida@krone.co.jp;m-matsuya@krone.co.jp;h-kato@krone.co.jp;y-honma@krone.co.jp;yuji-yamashita@krone.co.jp</t>
    <phoneticPr fontId="5"/>
  </si>
  <si>
    <t>ζ</t>
    <phoneticPr fontId="5"/>
  </si>
  <si>
    <t>ζ社内AS事務不備</t>
    <rPh sb="1" eb="3">
      <t>シャナイ</t>
    </rPh>
    <rPh sb="5" eb="7">
      <t>ジム</t>
    </rPh>
    <rPh sb="7" eb="9">
      <t>フビ</t>
    </rPh>
    <phoneticPr fontId="5"/>
  </si>
  <si>
    <t>as@krone.co.jp;kamiguchi@krone.co.jp</t>
    <phoneticPr fontId="5"/>
  </si>
  <si>
    <t>fujiwara@krone.co.jp; t-yotsukura@krone.co.jp; tetsuya-doi@krone.co.jp; hideto-ozaki@krone.co.jp;h-araki@krone.co.jp</t>
    <phoneticPr fontId="5"/>
  </si>
  <si>
    <t>製造部</t>
    <phoneticPr fontId="5"/>
  </si>
  <si>
    <t>KS2900-1000Pa-I</t>
  </si>
  <si>
    <t>営業１課</t>
  </si>
  <si>
    <t>センサーの基準電圧確認_x000D_
センサーの基準電圧確認製品のSCREENING実施</t>
  </si>
  <si>
    <t>1111/11/11</t>
  </si>
  <si>
    <t xml:space="preserve">_m-hiraki@krone.co.jp &gt; </t>
  </si>
  <si>
    <t>KDM30-200kPaA-M-BL-V</t>
  </si>
  <si>
    <t>K3A-0.20M-BV,</t>
  </si>
  <si>
    <t>KDM30-200kPaA-M-BL-V,</t>
  </si>
  <si>
    <t>115866 012,</t>
  </si>
  <si>
    <t>残留品有り</t>
  </si>
  <si>
    <t>KDM30-200kPaA-M-BL-V_Yamada power Unit 株式会社__圧力が高めに出る_平木　勝_20240122</t>
  </si>
  <si>
    <t>Yamada power Unit 株式会社</t>
  </si>
  <si>
    <t>圧力が高めに出る</t>
  </si>
  <si>
    <t>電源投入直後10hPa以上の差があり。_x000D_
電源投入後３時間程度経過すると差が2hPa程度となり安定する</t>
  </si>
  <si>
    <t xml:space="preserve">使用条件として常温（比較的環境が良い現場粉塵少、温度変化少）空調はありません。_x000D_
使用目的は流体機械（プロペラファン）の性能試験で気温、気圧変化に対する簡易補正目的。_x000D_
10℃強の温度変化があるとこのような変化が生じる可能性は無し。_x000D_
８ﾋﾟﾝはGNDに接地。_x000D_
</t>
  </si>
  <si>
    <t>調査･修理中</t>
  </si>
  <si>
    <t>KDM30の絶対圧計でで使用しているセンサーは真空から大気圧の測定をターゲットにしているため、測定レンジを広く（0-200ｋPa）とっています。一般的な気圧計の測定レンジは800～1200ｈPa程度であり、おおむねKDM30の1/10程度の測定レンジになります。_x000D_
KDM30で気圧を測定するとなると10倍の精度は必要となり桁も1桁足りません。</t>
  </si>
  <si>
    <t xml:space="preserve">現在のところセンサーの異常は認められません。_x000D_
_x000D_
前回の校正は2023年3月に実施しているので約1年経過しているので校正は必要かと考えています。_x000D_
KDM30で使用しているセンサーは温度による圧力の変動は0.04％F.S/℃（0.08ｋPa/℃）ありこの値は個体により大きく異なります。_x000D_
校正の実施とセンサー個体の温度特性の検証を実施したします。_x000D_
</t>
  </si>
  <si>
    <t>\\192.168.1.201\品質管理\顧客要求管理ツール\添付\253_231227_推力測定機_気圧調査結果.pdf|</t>
  </si>
  <si>
    <t xml:space="preserve"> 1|K3A-0.20M-BV,KDM30-200kPaA-M-BL-V,115866 012,1,,,,,|</t>
  </si>
  <si>
    <t>山下</t>
  </si>
  <si>
    <t>再発防止要否</t>
    <phoneticPr fontId="5"/>
  </si>
  <si>
    <t>対策文書</t>
    <phoneticPr fontId="5"/>
  </si>
  <si>
    <t>再発防止要否</t>
    <phoneticPr fontId="5"/>
  </si>
  <si>
    <t>対策文書</t>
    <phoneticPr fontId="5"/>
  </si>
  <si>
    <t>再発防止要否</t>
    <rPh sb="0" eb="4">
      <t>サイハツボウシ</t>
    </rPh>
    <rPh sb="4" eb="6">
      <t>ヨウヒ</t>
    </rPh>
    <phoneticPr fontId="5"/>
  </si>
  <si>
    <t>再発防止必要</t>
    <rPh sb="0" eb="4">
      <t>サイハツボウシ</t>
    </rPh>
    <rPh sb="4" eb="6">
      <t>ヒツヨウ</t>
    </rPh>
    <phoneticPr fontId="5"/>
  </si>
  <si>
    <t>再発防止不要</t>
    <rPh sb="0" eb="4">
      <t>サイハツボウシ</t>
    </rPh>
    <rPh sb="4" eb="6">
      <t>フヨウ</t>
    </rPh>
    <phoneticPr fontId="5"/>
  </si>
  <si>
    <t>対策のみ必要</t>
    <rPh sb="0" eb="2">
      <t>タイサク</t>
    </rPh>
    <rPh sb="4" eb="6">
      <t>ヒツヨウ</t>
    </rPh>
    <phoneticPr fontId="5"/>
  </si>
  <si>
    <t>対策も不要</t>
    <rPh sb="0" eb="2">
      <t>タイサク</t>
    </rPh>
    <rPh sb="3" eb="5">
      <t>フヨウ</t>
    </rPh>
    <phoneticPr fontId="5"/>
  </si>
  <si>
    <t>再発防止必要</t>
    <rPh sb="0" eb="2">
      <t>サイハツ</t>
    </rPh>
    <rPh sb="2" eb="4">
      <t>ボウシ</t>
    </rPh>
    <rPh sb="4" eb="6">
      <t>ヒツヨウ</t>
    </rPh>
    <phoneticPr fontId="5"/>
  </si>
  <si>
    <t>再発防止要否</t>
  </si>
  <si>
    <t>対策文書</t>
  </si>
  <si>
    <t>文書名</t>
    <phoneticPr fontId="27"/>
  </si>
  <si>
    <t xml:space="preserve">承認者
</t>
    <phoneticPr fontId="27"/>
  </si>
  <si>
    <t xml:space="preserve">作成・更新者
</t>
    <phoneticPr fontId="27"/>
  </si>
  <si>
    <t>再発防止記録フォーム</t>
    <phoneticPr fontId="27"/>
  </si>
  <si>
    <t>四倉</t>
    <phoneticPr fontId="27"/>
  </si>
  <si>
    <t>荒木</t>
    <phoneticPr fontId="27"/>
  </si>
  <si>
    <t>管理番号</t>
    <phoneticPr fontId="27"/>
  </si>
  <si>
    <t>版数</t>
    <phoneticPr fontId="27"/>
  </si>
  <si>
    <t>承認日</t>
    <phoneticPr fontId="27"/>
  </si>
  <si>
    <t>作成・更新日</t>
    <phoneticPr fontId="27"/>
  </si>
  <si>
    <t>Gen-100-003</t>
    <phoneticPr fontId="27"/>
  </si>
  <si>
    <t>改版概要と箇所：</t>
    <phoneticPr fontId="27"/>
  </si>
  <si>
    <t>品目名</t>
    <phoneticPr fontId="28"/>
  </si>
  <si>
    <t>品目ｺｰﾄﾞ</t>
    <phoneticPr fontId="28"/>
  </si>
  <si>
    <t>再発防止実施済</t>
    <rPh sb="0" eb="2">
      <t>サイハツ</t>
    </rPh>
    <rPh sb="2" eb="4">
      <t>ボウシ</t>
    </rPh>
    <rPh sb="4" eb="6">
      <t>ジッシ</t>
    </rPh>
    <rPh sb="6" eb="7">
      <t>スミ</t>
    </rPh>
    <phoneticPr fontId="5"/>
  </si>
  <si>
    <t>完了(代品発送済)</t>
    <rPh sb="0" eb="2">
      <t>カンリョウ</t>
    </rPh>
    <phoneticPr fontId="5"/>
  </si>
  <si>
    <t>代品発送済</t>
    <phoneticPr fontId="5"/>
  </si>
  <si>
    <t>営業部</t>
    <phoneticPr fontId="5"/>
  </si>
  <si>
    <t>加藤英輝</t>
    <phoneticPr fontId="5"/>
  </si>
  <si>
    <t>技術部</t>
    <phoneticPr fontId="5"/>
  </si>
  <si>
    <t>加藤祥</t>
    <phoneticPr fontId="5"/>
  </si>
  <si>
    <t>プロジェクト申請</t>
    <rPh sb="6" eb="8">
      <t>シンセイ</t>
    </rPh>
    <phoneticPr fontId="5"/>
  </si>
  <si>
    <t>大日本</t>
  </si>
  <si>
    <t>DB_ID</t>
  </si>
  <si>
    <t>完了日</t>
  </si>
  <si>
    <t>エ発信者</t>
  </si>
  <si>
    <t>再発防止必要</t>
  </si>
  <si>
    <t>再発防止不要</t>
  </si>
  <si>
    <t>日立産機システム</t>
  </si>
  <si>
    <t xml:space="preserve">_t-ueda@krone.co.jp &gt; _masaru-yoshida@krone.co.jp &gt; _masaru-yoshida@krone.co.jp &gt; _masaru-yoshida@krone.co.jp &gt; </t>
  </si>
  <si>
    <t>徳永恵理</t>
    <phoneticPr fontId="5"/>
  </si>
  <si>
    <t>電源異常時再起動不可</t>
    <phoneticPr fontId="5"/>
  </si>
  <si>
    <t>KDM30</t>
  </si>
  <si>
    <t>K3G-0.50B-B,</t>
  </si>
  <si>
    <t>KDM30-500kPaG-B-BL,</t>
  </si>
  <si>
    <t>社外_調整有</t>
  </si>
  <si>
    <t>株式会社ジェイ・イー・ティ</t>
  </si>
  <si>
    <t>（株）ジェイ・イー・ティ</t>
  </si>
  <si>
    <t>ジェイ</t>
  </si>
  <si>
    <t>電池消費が激しい</t>
  </si>
  <si>
    <t>可</t>
  </si>
  <si>
    <t>低</t>
  </si>
  <si>
    <t>KS2900LCD不良</t>
    <rPh sb="9" eb="11">
      <t>フリョウ</t>
    </rPh>
    <phoneticPr fontId="5"/>
  </si>
  <si>
    <t>KS3200LCD不良</t>
    <rPh sb="9" eb="11">
      <t>フリョウ</t>
    </rPh>
    <phoneticPr fontId="5"/>
  </si>
  <si>
    <t>技術へ検証依頼中</t>
  </si>
  <si>
    <t>対策も不要</t>
  </si>
  <si>
    <t>異常なゼロ点シフトは圧力センサー自体の出力変動であり、圧力センサーの個体不良となります。_x000D_
圧力センサーの要因分析はセンサーメーカーに依頼したが、原因不明との回答があり、_x000D_
メーカーからセンサー選別が最適な対応との見解でしたので、センサーを選別することで流出防止策をしております。</t>
  </si>
  <si>
    <t>再発防止実施済</t>
  </si>
  <si>
    <t>代品発送済</t>
  </si>
  <si>
    <t>KDM30-5MPaG-A-BL-VKDM30標準_日本ピーマック株式会社_日本ピーマック（株）技術本部_電源が落ちる_上田_20240903</t>
  </si>
  <si>
    <t>日本ピーマック</t>
  </si>
  <si>
    <t>日本ピーマック株式会社</t>
  </si>
  <si>
    <t>日本ピーマック（株）技術本部</t>
  </si>
  <si>
    <t>2024/10/01 13:36:02</t>
  </si>
  <si>
    <t>K3G-0005A-BV</t>
  </si>
  <si>
    <t>K3G-0005A-BV,</t>
  </si>
  <si>
    <t>KDM30-5MPaG-A-BL-V,</t>
  </si>
  <si>
    <t>87532 034,</t>
  </si>
  <si>
    <t>電源が落ちる</t>
  </si>
  <si>
    <t xml:space="preserve">空調機冷媒配管内の真空引きを行っている際に、液晶がつかなくなりロガーへの通信も途絶える現象が発生している。_x000D_
</t>
  </si>
  <si>
    <t>KDM裏面のe-conコネクタのメスが破損している（写真1参照）ことから、オス側のコネクタも破損している可能性があります。それに伴って接続が途絶え、KDMの電源が切れていることも考えられます。_x000D_
_x000D_
確認事項_x000D_
簡易校正：異常なし（表１参照）_x000D_
長期運転：異常なし_x000D_
_x000D_
解析品のKDM30はレンジがゲージ圧5MPaなので動作確認は正圧で実施しています</t>
  </si>
  <si>
    <t>・現象は再現しませんでした_x000D_
液晶が消え、通信も途絶えるのはKDMの電源が切れていると考えられます。_x000D_
弊社で校正を行った結果、表示・通信が途絶えることなく正常動作しました。_x000D_
コネクタのソケットが破損していることから、何らかの負荷によりコネクタ破損の可能性があります。_x000D_
コネクタプラグ側をご確認ください（同梱されていなかったので確認できませんでした）_x000D_
・簡易校正を行ったところ精度を外れていました。校正が必要です。_x000D_
・本モデルのレンジは5PaG・・・ゲージ圧なので真空の測定は不可能です。センサーを破壊する可能性がありますので真空引きが必要な場合は他のレンジをご購入下さい。</t>
  </si>
  <si>
    <t>\\192.168.1.201\品質管理\顧客要求管理ツール\添付\362_KDM30-5MPaG-A-BL-VKDM30標準_日本ピーマック株式会社_日本ピーマック（株）技術本部_電源が落ちる_上田_20240903.xlsx|Z:\【技術部管理文書】\53_故障解析報告書\完了報告書\362_KDM30-5MPaG-A-BL-VKDM30標準_日本ピーマック株式会社_日本ピーマック（株）技術本部_電源が落ちる_上田_20240903.xlsx|</t>
  </si>
  <si>
    <t xml:space="preserve"> 1|K3G-0005A-BV,KDM30-5MPaG-A-BL-V,87532 034,1,,,2024/10/1,ユーザー責,残留品有り|</t>
  </si>
  <si>
    <t>LCD部品の７ピンが導通不良になっており、一部画面表示がされませんでした。_x000D_
（要因分析１を参照）</t>
  </si>
  <si>
    <t>LCD部品の初期不良と思われます。KS２９００の製造工程でLCDに負荷がかかる工程は、「半田付けの取付」と「組立」になります。_x000D_
半田付けでは、半田付け温度・時間を管理しているため、問題はありません。_x000D_
組立では、LCDに直接 物理的負荷がかからないことや、工場内で静電気対策をおこなっており、問題はありません。_x000D_
また、画面表示は圧力値・アナログ出力の校正・調整に確認することに加え、全点灯表示を工程内検査と出荷検査時に行っています。_x000D_
_x000D_
以上から、LCDの内部配線が不安定に接続されていたものが、輸送などの振動により導通不良を発生したと考えられます。_x000D_
通常、LCD不良が発生した場合、上記管理や検査で発見することは可能になっています。_x000D_
しかし、今回の不安定な導通に関しては、検査時 輸送などの振動ほどの大きな負荷をかけないため、LCD不良が発生されませんでした。</t>
  </si>
  <si>
    <t>在庫全数検査と半田基準変更</t>
  </si>
  <si>
    <t>LCD部品の７ピン・８ピンが導通不良になっており、一部画面表示がされませんでした。_x000D_
（要因分析１を参照）</t>
  </si>
  <si>
    <t>KS2900-±1000Pa-I-N-N-N-GKS2900_株式会社日立産機システム_株式会社SCREENｾﾐｺﾝﾀﾞｸﾀｰｿﾘｭｰｼｮﾝｽﾞ_0点シフト_土井哲也_20240930</t>
  </si>
  <si>
    <t>株式会社SCREENｾﾐｺﾝﾀﾞｸﾀｰｿﾘｭｰｼｮﾝｽﾞ</t>
  </si>
  <si>
    <t>2024/10/22 18:34:54</t>
  </si>
  <si>
    <t>KS29T-INNNG,KS29T-INNNG,KS29T-INNNG,KS29F-INNNG,KS29F-INNNN,</t>
  </si>
  <si>
    <t>KS2900-±1000Pa-I-N-N-N-G,KS2900-±1000Pa-I-N-N-N-G,KS2900-±1000Pa-I-N-N-N-G,KS2900-1000Pa-I-N-N-N-G,KS2900-1000Pa-I-N-N-N-N,</t>
  </si>
  <si>
    <t>W076833,W130007,W129949,W119109,W127680,</t>
  </si>
  <si>
    <t>1.ﾌﾟﾛｾｽ側のFFUの圧力でのｱﾗｰﾑが発生。2.ｱﾗｰﾑ発生時、表示値は役43~55。3.0較正後、圧力計の表示が連続的に上昇する。   4.これらの圧力計を取付けし直しても改善されません。5.圧力計をｽﾜｯﾌﾟするとｽﾜｯﾌﾟ先に症状が移行しました。以上のことから圧力計の不具合と斑岩します。原因調査をお願いします。</t>
  </si>
  <si>
    <t>2回目の対策不具合の発生です。次の打合せの際でも現行の対策の処遇改についてSCREEN-KRと会話が可能であればしたい。</t>
  </si>
  <si>
    <t>代品にての対応をお願いします。</t>
  </si>
  <si>
    <t xml:space="preserve">下記の3通りの検証を実施し、対象５台に異常が確認されました。（要因分析４を参照）_x000D_
　　・1週間の通電エイジング検査　 (要因分析1）_x000D_
　　・センサ出力電圧検査　　　　　　（要因分析２）_x000D_
　　・20時間の継続的な圧力モニタ （要因分析３）_x000D_
_x000D_
異常が確認された機器は2023年2月頃に検査を実施していたものです。_x000D_
この時期に生産した機器は要因分析１で実施した通電エイジングのみで出荷可否判定を実施していた為、今回のセンサの異常が発見できなかったものと考えられます。_x000D_
_x000D_
センサー出力電圧検査は2023年5月～、継続的な圧力モニタは2023年10月～実施しています。_x000D_
従いまして、現在は今回の不具合は検査で出荷を押さえる事ができます。_x000D_
</t>
  </si>
  <si>
    <t>センサーの基準電圧確認_x000D_
_x000D_
センサーの基準電圧確認製品のSCREENING実施</t>
  </si>
  <si>
    <t>\\192.168.1.201\品質管理\顧客要求管理ツール\添付\376_20240930085852558.pdf|\\192.168.1.201\品質管理\顧客要求管理ツール\添付\376_KS2900-±1000Pa-I-N-N-N-GKS2900_株式会社日立産機システム_株式会社SCREENｾﾐｺﾝﾀﾞｸﾀｰｿﾘｭｰｼｮﾝｽﾞ_0点シフト_土井哲也_20240930.xlsx|Z:\【技術部管理文書】\53_故障解析報告書\完了報告書\376_KS2900-±1000Pa-I-N-N-N-GKS2900_株式会社日立産機システム_株式会社SCREENｾﾐｺﾝﾀﾞｸﾀｰｿﾘｭｰｼｮﾝｽﾞ_0点シフト_土井哲也_20240930.xlsx|</t>
  </si>
  <si>
    <t xml:space="preserve">_tetsuya-doi@krone.co.jp &gt; _tetsuya-doi@krone.co.jp &gt; _tetsuya-doi@krone.co.jp &gt; _masaru-yoshida@krone.co.jp &gt; _masaru-yoshida@krone.co.jp &gt; _masaru-yoshida@krone.co.jp &gt; _masaru-yoshida@krone.co.jp &gt; </t>
  </si>
  <si>
    <t xml:space="preserve"> 5|KS29T-INNNG,KS2900-±1000Pa-I-N-N-N-G,W076833,1,,,2024/10/22,自責,残留品有り|KS29T-INNNG,KS2900-±1000Pa-I-N-N-N-G,W130007,1,,,2024/10/22,自責,残留品有り|KS29T-INNNG,KS2900-±1000Pa-I-N-N-N-G,W129949,1,,,2024/10/22,自責,残留品有り|KS29F-INNNG,KS2900-1000Pa-I-N-N-N-G,W119109,1,,,2024/10/22,自責,残留品有り|KS29F-INNNN,KS2900-1000Pa-I-N-N-N-N,W127680,1,,,2024/10/22,自責,残留品有り|</t>
  </si>
  <si>
    <t>KDM30-1MPaG-B-BL-ZKDM30MW2.4_東京都市サービス株式会社_持参_電池消費が激しい_上田_20241017</t>
  </si>
  <si>
    <t>25587</t>
  </si>
  <si>
    <t>東京都市サービス株式会社</t>
  </si>
  <si>
    <t>持参</t>
  </si>
  <si>
    <t>K3G-0001B-BZ,</t>
  </si>
  <si>
    <t>KDM30-1MPaG-B-BL-Z,</t>
  </si>
  <si>
    <t>電池消費が通常より大きい。_x000D_
無線モジュールのコンデンサの抵抗値が1.2kΩと異常値が出ていることは確認済み。</t>
  </si>
  <si>
    <t>保証期内のため有償無償は営業と相談_x000D_
実際はコンデンサは基板を割るときのストレスで破壊するため今回はコンデンサ交換で対応</t>
  </si>
  <si>
    <t>長時間の振動もしくは衝撃によってコンデンサが壊れてしまったと考えられます。</t>
  </si>
  <si>
    <t>本体内部の基板を確認したところ、コンデンサが壊れており、消費電流が増加しておりました。_x000D_
コンデンサの交換で修理可能です。</t>
  </si>
  <si>
    <t xml:space="preserve">_E:t-ueda@krone.co.jp &gt; _D:masaru-yoshida@krone.co.jp &gt; </t>
  </si>
  <si>
    <t>KDM30α-5MPaG-A-BL-TKDM30BT_地方独立行政法人 神奈川県立産業技術総合研究所_地方独立行政法人 神奈川県立産業技術総合研究所_計測値が違う_上田_20241021</t>
  </si>
  <si>
    <t>35908</t>
  </si>
  <si>
    <t>地方独立行政法人 神奈川県立産業技術総合研究所</t>
  </si>
  <si>
    <t>046-236-1500</t>
  </si>
  <si>
    <t>KDM30α-5MPa</t>
  </si>
  <si>
    <t>K3aG-0005A-BT,</t>
  </si>
  <si>
    <t>KDM30α-5MPaG-A-BL-T,</t>
  </si>
  <si>
    <t>140804 077,</t>
  </si>
  <si>
    <t>計測値が違う</t>
  </si>
  <si>
    <t>針式で計測した時、0.75MPaになる所を0.3MPa程度で表示されていた。_x000D_
デモ機で確認した所、0.75MPaを示したため針式の方の精度は間違いないと思われます。_x000D_
確認お願いします。</t>
  </si>
  <si>
    <t xml:space="preserve">_E:t-ueda@krone.co.jp &gt; </t>
  </si>
  <si>
    <t xml:space="preserve"> 1|K3aG-0005A-BT,KDM30α-5MPaG-A-BL-T,140804 077,1,,,,,|</t>
  </si>
  <si>
    <t>高速ﾃﾞｼﾞﾀﾙ圧力ｽｲｯﾁ KNS70-70MPaKNS70_エヌピーエーシステム株式会社_エヌピーエーシステム（株）_動作不良_上田_20241030</t>
  </si>
  <si>
    <t>26243</t>
  </si>
  <si>
    <t>エヌピーエーシステム株式会社</t>
  </si>
  <si>
    <t>エヌピーエーシステム（株）</t>
  </si>
  <si>
    <t>KNS70,</t>
  </si>
  <si>
    <t>高速ﾃﾞｼﾞﾀﾙ圧力ｽｲｯﾁ KNS70-70MPa,</t>
  </si>
  <si>
    <t>動作不良</t>
  </si>
  <si>
    <t>70MPa→100kNでスケーリング。通常のプレス動作で比較値設定《74》kNで使用していたところ、表示が《130》ｋN付近で止まって_x000D_
動かなくなった。_x000D_
比較値設定を《140》に変更させると、ポンプ作動し、160付近でSWが反応し停止。</t>
  </si>
  <si>
    <t xml:space="preserve">配線を一部間違えてコンセントをつないでしまいました。_x000D_
（【１】と【L】を繋ぎ間違えました）_x000D_
、配線を一部間違えてコンセントをつないでしまった。_x000D_
コンセントを差した瞬間、電動機が少し作動し、すぐに止まりました。_x000D_
動力電流が制御系に流れてしまった可能性があります。_x000D_
</t>
  </si>
  <si>
    <t xml:space="preserve"> 1|KNS70,高速ﾃﾞｼﾞﾀﾙ圧力ｽｲｯﾁ KNS70-70MPa,,1,J231100289-00,,,,|</t>
  </si>
  <si>
    <t>有光</t>
  </si>
  <si>
    <t>有光工業株式会社</t>
  </si>
  <si>
    <t>有光工業株式会社 技術部</t>
  </si>
  <si>
    <t>KDM30-10MPaG-B-BL-Z</t>
  </si>
  <si>
    <t>K3G-0010B-BZ,</t>
  </si>
  <si>
    <t>KDM30-10MPaG-B-BL-Z,</t>
  </si>
  <si>
    <t>70898 050,</t>
  </si>
  <si>
    <t>表示異常</t>
  </si>
  <si>
    <t>加圧しても表示値が変化しない。</t>
  </si>
  <si>
    <t>不具合解析をお願いします。_x000D_
修理は指示をするまでしないで下さい。</t>
  </si>
  <si>
    <t>2024/11/05 15:34:26</t>
  </si>
  <si>
    <t>\\192.168.1.201\品質管理\顧客要求管理ツール\添付\399_KDM30-1MPaG-B-BL-ZKDM30MW2.4_東京都市サービス株式会社_持参_電池消費が激しい_上田_20241017.xlsx|Z:\【技術部管理文書】\53_故障解析報告書\完了報告書\399_KDM30-1MPaG-B-BL-ZKDM30MW2.4_東京都市サービス株式会社_持参_電池消費が激しい_上田_20241017.xlsx|</t>
  </si>
  <si>
    <t xml:space="preserve"> 1|K3G-0001B-BZ,KDM30-1MPaG-B-BL-Z,,1,138349 017,,2024/11/5,ユーザー責,残留品有り|</t>
  </si>
  <si>
    <t>KP10006-01b</t>
  </si>
  <si>
    <t>KS2900LCD不良</t>
  </si>
  <si>
    <t>KDM30-1MPaG-B-BL-ZKDM30MW2.4_東京都市サービス株式会社_東京都市サービス（株）_圧力値異常_上田_20241114</t>
  </si>
  <si>
    <t>東京都市</t>
  </si>
  <si>
    <t>東京都市サービス（株）</t>
  </si>
  <si>
    <t>93555 028,</t>
  </si>
  <si>
    <t>圧力値異常</t>
  </si>
  <si>
    <t>圧力値が-0.248MPaで表示が固定されている。</t>
  </si>
  <si>
    <t>ぐるぐる巻きは確認しています。</t>
  </si>
  <si>
    <t>松谷</t>
  </si>
  <si>
    <t>KS2900-1000Pa-I-N-N-N-N_株式会社日立産機システム__液晶の不具合_土井　哲也_20241118</t>
  </si>
  <si>
    <t>KS2900-1000Pa-I-N</t>
  </si>
  <si>
    <t>KS29F-INNNN,</t>
  </si>
  <si>
    <t>KS2900-1000Pa-I-N-N-N-N,</t>
  </si>
  <si>
    <t>W174928,</t>
  </si>
  <si>
    <t>液晶の不具合</t>
  </si>
  <si>
    <t>液晶ﾊﾟﾈﾙの文字が1部ちらつく</t>
  </si>
  <si>
    <t>技術から修理するか？新規で送るか指示下さい。</t>
  </si>
  <si>
    <t>完了(残留品なし)</t>
  </si>
  <si>
    <t>2024/11/21 10:06:33</t>
  </si>
  <si>
    <t>LCD部品の７ピンが導通不良になっており、一部画面表示がされませんでした。_x000D_
_x000D_
（要因分析１を参照）</t>
  </si>
  <si>
    <t>LCD部品単体の不良であり、KS２９００の計測・出力等ほかのに影響はありません。_x000D_
無償にてLCD交換いたします。_x000D_
※現在、同様の表示不良が製造工程にて多発しており、メーカーに問い合わせております。_x000D_
_x000D_
メーカーからは「はんだ作業」の改修を依頼されたため、製造工程に適用し対策としています。_x000D_
（要因分析２を参照）_x000D_
※本件は再発防止対策前の生産となります。ご迷惑をおかけして大変申し訳ございません。</t>
  </si>
  <si>
    <t>\\192.168.1.201\品質管理\顧客要求管理ツール\添付\414_20241118144130249.pdf|\\192.168.1.201\品質管理\顧客要求管理ツール\添付\414_KS2900-1000Pa-I-N-N-N-N_株式会社日立産機システム__液晶の不具合_土井　哲也_20241118.xlsx|Z:\【技術部管理文書】\53_故障解析報告書\完了報告書\414_KS2900-1000Pa-I-N-N-N-N_株式会社日立産機システム__液晶の不具合_土井　哲也_20241118.xlsx|</t>
  </si>
  <si>
    <t xml:space="preserve">_E:tetsuya-doi@krone.co.jp &gt; _D:masaru-yoshida@krone.co.jp &gt; </t>
  </si>
  <si>
    <t xml:space="preserve"> 1|KS29F-INNNN,KS2900-1000Pa-I-N-N-N-N,W174928,1,,,2024/11/21,自責,残留品有り|</t>
  </si>
  <si>
    <t>KS10233-01a_KS2900-LCD取り付け指示書</t>
  </si>
  <si>
    <t>ニプロ</t>
  </si>
  <si>
    <t>ニプロ株式会社</t>
  </si>
  <si>
    <t>2024/11/28 10:55:18</t>
  </si>
  <si>
    <t>過大圧によるセンサ破壊と思われます。過大圧が発生しない対策を行うかレンジが大きいものをご検討ください。_x000D_
しかし、他にセンサケーブルの捩れや過回転防止のツメの破損があるためセンサ以外の修理が必要です。_x000D_
修理はボディ交換、センサ交換、再校正です。</t>
  </si>
  <si>
    <t>\\192.168.1.201\品質管理\顧客要求管理ツール\添付\407_KDM30-10MPaG-B-BL-ZKDM30MW2.4_有光工業株式会社_有光工業株式会社 技術部_表示異常_尾崎_20241030.xlsx|Z:\【技術部管理文書】\53_故障解析報告書\完了報告書\407_KDM30-10MPaG-B-BL-ZKDM30MW2.4_有光工業株式会社_有光工業株式会社 技術部_表示異常_尾崎_20241030.xlsx|</t>
  </si>
  <si>
    <t xml:space="preserve">_hideto-ozaki@krone.co.jp &gt; _D:masaru-yoshida@krone.co.jp &gt; </t>
  </si>
  <si>
    <t xml:space="preserve"> 1|K3G-0010B-BZ,KDM30-10MPaG-B-BL-Z,70898 050,1,,,2024/11/28,,|</t>
  </si>
  <si>
    <t>2024/11/25 17:31:52</t>
  </si>
  <si>
    <t>・KNS70の【1】（N.O）を【L】に、【L】を【1】に接続し間違えても、ショートやKNS70とリレーの制御装置は動作されません。_x000D_
　そのため、上記の配線による解析品の故障はありません。_x000D_
_x000D_
・フルスケール値 70MPaを100kNでスケーリングしているが、フルスケールを超える130kNや160kNの圧力を印加していることが気になりますが、破壊圧は210MPa（300kN）/280kPa（400kN）ですので過大圧による故障は考えづらい。　_x000D_
何かしらの要因で、上記 印加圧力以上の圧力が加わった可能性はあります。_x000D_
_x000D_
・リレー制御の確認のため、比較値設定Hi を74.0kNに設定して、検査用センサで約100回 比較値を超えてリレーを動作させましたが、正常動作でした。</t>
  </si>
  <si>
    <t>1.KNS70の【1】（N.O）を【L】/【L】を【1】の誤接続では、KNS70やリレーによる制御装置は動作されないため、動力電流が制御系に流れることはありません。 （要因分析１を参照）_x000D_
2.外観検査では、内部基板や各部品に問題はありませんでした。_x000D_
　　（要因分析２を参照）_x000D_
3.通電による動作時に表示されている値が非加圧状態で、約20.0kN～30.0kNのためセンサは故障しています。_x000D_
　　（要因分析３を参照）_x000D_
4.センサを取り替えて、表示値を変動させてリレー制御を確認しましたが、リレー制御は正常に動作しています。_x000D_
　　（要因分析４を参照）_x000D_
_x000D_
〇修理：センサ交換・再校正_x000D_
〇解析品のリレー制御は正常に動作を確認していますが、さらに解析を行う場合、_x000D_
 　ご使用状況の詳細（主にセンサ周り）・電源や各種機器 (KNS70含む)の配線図を提出いただく必要があります。</t>
  </si>
  <si>
    <t>\\192.168.1.201\品質管理\顧客要求管理ツール\添付\408_高速ﾃﾞｼﾞﾀﾙ圧力ｽｲｯﾁ KNS70-70MPaKNS70_エヌピーエーシステム株式会社_エヌピーエーシステム（株）_動作不良_上田_20241030.xlsx|Z:\【技術部管理文書】\53_故障解析報告書\完了報告書\408_高速ﾃﾞｼﾞﾀﾙ圧力ｽｲｯﾁ KNS70-70MPaKNS70_エヌピーエーシステム株式会社_エヌピーエーシステム（株）_動作不良_上田_20241030.xlsx|</t>
  </si>
  <si>
    <t>2024/12/04 15:01:15</t>
  </si>
  <si>
    <t>強制ゼロを行い、簡易校正を行ったところ、正常動作を確認しました。_x000D_
加圧した状態で強制ゼロを行ったこととディスプレイレートが600secになっていたことによって、表示値が-0.248MPaで固定されているように見えていたと思われます。_x000D_
_x000D_
内部を確認すると、センサケーブルが捩れていました。(2P,センサケーブル捩れを参照)　放置するとセンサケーブルの断線やFG線断線による静電破壊を起こす可能性があります。また、過回転によるボディの破損がありました。(2P,ボディ破損を参照)</t>
  </si>
  <si>
    <t>センサケーブルが捩れていました。_x000D_
現状で正常動作か確認できますが、ケーブルの捻じれによりセンサー破壊や断線の可能性があるのでセンサー交換が必要です。_x000D_
KDM30のボディを持って、配管を行わないでください。センサのナット部分をレンチ等で持って配管してください。(3P,注意点)_x000D_
_x000D_
修理はボディ交換、センサ交換、再校正です。</t>
  </si>
  <si>
    <t>\\192.168.1.201\品質管理\顧客要求管理ツール\添付\411_KDM30-1MPaG-B-BL-ZKDM30MW2.4_東京都市サービス株式会社_東京都市サービス（株）_圧力値異常_上田_20241114.xlsx|Z:\【技術部管理文書】\53_故障解析報告書\完了報告書\411_KDM30-1MPaG-B-BL-ZKDM30MW2.4_東京都市サービス株式会社_東京都市サービス（株）_圧力値異常_上田_20241114.xlsx|</t>
  </si>
  <si>
    <t xml:space="preserve">_E:t-ueda@krone.co.jp &gt; _D:masaru-yoshida@krone.co.jp &gt; _D:masaru-yoshida@krone.co.jp &gt; _D:masaru-yoshida@krone.co.jp &gt; </t>
  </si>
  <si>
    <t xml:space="preserve"> 1|K3G-0001B-BZ,KDM30-1MPaG-B-BL-Z,93555 028,1,,,2024/12/4,ユーザー責,完了(残留品なし)|</t>
  </si>
  <si>
    <t>KDM30標準_西野産業株式会社_株式会社サカノシタ　枚方営業所_KDM30修理見積依頼_山本_20241129</t>
  </si>
  <si>
    <t>山本</t>
  </si>
  <si>
    <t>西野産業株式会社</t>
  </si>
  <si>
    <t>株式会社サカノシタ　枚方営業所</t>
  </si>
  <si>
    <t>KDM30修理見積依頼</t>
  </si>
  <si>
    <t>要望：精度がズレているので修理してほしい_x000D_
_x000D_
現象：10.5 17.5 24.5 35MPaの圧力をかけた時_x000D_
_x000D_
半年前　10.49 17.48 24.48 34.99_x000D_
今回　10.62 17.72 24.83 35.49</t>
  </si>
  <si>
    <t>2021年4月にファイルメーカーの登録履歴_x000D_
_x000D_
一度は再校正として見積もりを返していますが、修理見積依頼として現物が届きました。</t>
  </si>
  <si>
    <t>a-yamamoto@krone.co.jp</t>
  </si>
  <si>
    <t xml:space="preserve"> 0|</t>
  </si>
  <si>
    <t>日新電機株式会社</t>
  </si>
  <si>
    <t>KDM30-1MPaC-B-BL-X</t>
  </si>
  <si>
    <t>KDM30修理依頼</t>
  </si>
  <si>
    <t>”画面がつかないので修理して欲しい”という依頼_x000D_
ご対応宜しくお願い致します。</t>
  </si>
  <si>
    <t>電池カバーを外したところ電池が十分に固定されておらず通電しない。_x000D_
⇒電池を指で固定することで通確認。_x000D_
_x000D_
筐体内のLCDディスプレイがズレている。</t>
  </si>
  <si>
    <t>大阪支店　</t>
  </si>
  <si>
    <t>LCD欠け</t>
  </si>
  <si>
    <t>高速ﾃﾞｼﾞﾀﾙ圧力ｽｲｯﾁ KNS70-70MPaKNS70_エヌピーエーシステム株式会社_エヌピーエーシステム（株）_不具合_上田_20241209</t>
  </si>
  <si>
    <t>不具合</t>
  </si>
  <si>
    <t>前回故障したユーザーに代品を送り、その後立て続けに２台故障。_x000D_
原因調査をお願いします。</t>
  </si>
  <si>
    <t>電話番号</t>
    <phoneticPr fontId="5"/>
  </si>
  <si>
    <t>230</t>
    <phoneticPr fontId="5"/>
  </si>
  <si>
    <t>注文　520.9H0S03L701　が　３台　に対して、　520.9H0S03L701W　を３台出荷した。</t>
    <phoneticPr fontId="5"/>
  </si>
  <si>
    <t>\\192.168.1.201\品質管理\顧客要求管理ツール\添付\230__web 株式会社MonotaRo__社内_その他test分類_test１６０４_堀田_20241206.xlsx|\\192.168.1.201\品質管理\顧客要求管理ツール\添付\テスト230.xlsx|</t>
  </si>
  <si>
    <t>h-araki@krone.co.jp</t>
    <phoneticPr fontId="5"/>
  </si>
  <si>
    <t xml:space="preserve">37693 </t>
  </si>
  <si>
    <t>520.9</t>
  </si>
  <si>
    <t>520.9H0S03L701,</t>
  </si>
  <si>
    <t>注文　520.9H0S03L701　が　３台　に対して、　520.9H0S03L701W　を３台出荷した。</t>
  </si>
  <si>
    <t>α要望</t>
  </si>
  <si>
    <t>h-araki@krone.co.jp</t>
  </si>
  <si>
    <t xml:space="preserve"> 1|520.9H0S03L701,,,1,,,,,|</t>
  </si>
  <si>
    <t>Gen-123-123_123</t>
  </si>
  <si>
    <t>2025/01/10 15:47:01</t>
  </si>
  <si>
    <t>デジタルセンサの精度を保つためには定期的な校正がが必要です_x000D_
KSM30では1年に1回程度の構成を推奨しています</t>
  </si>
  <si>
    <t xml:space="preserve">外観、内部ともに異常はありませんでした。_x000D_
しかし、KDM30の精度は本来±0.25% F.S ±1digitですが、解析品は最大0.4%のずれがありました。_x000D_
</t>
  </si>
  <si>
    <t>対策の要否</t>
  </si>
  <si>
    <t>\\192.168.1.201\品質管理\顧客要求管理ツール\添付\418_KDM30標準_西野産業株式会社_株式会社サカノシタ　枚方営業所_KDM30修理見積依頼_山本_20241129.xlsx|Z:\【技術部管理文書】\53_故障解析報告書\完了報告書\418_KDM30標準_西野産業株式会社_株式会社サカノシタ　枚方営業所_KDM30修理見積依頼_山本_20241129.xlsx|</t>
  </si>
  <si>
    <t>_E241129:a-yamamoto@krone.co.jp&gt;_D250110:masaru-yoshida@krone.co.jp&gt;</t>
  </si>
  <si>
    <t>KDM30標準_西野産業株式会社_日新電機株式会社_KDM30修理依頼_山本_20241206</t>
  </si>
  <si>
    <t>2025/01/07 16:20:47</t>
  </si>
  <si>
    <t>・センサレンジは70MPaで、耐圧は210MPa・破壊圧は280MPaです。_x000D_
　上記圧力値以上の印加圧力を加えた可能性があります。_x000D_
_x000D_
・ダイヤフラムに何らかの物理的接触による、損傷も考えられます。_x000D_
　（棒などで突くようなこと）_x000D_
　</t>
  </si>
  <si>
    <t xml:space="preserve">センサのダイヤフラムの損傷によって、センサ出力が異常値となり、表示圧力値が異常値を示しています。_x000D_
_x000D_
1.外観検査では、内部基板や各部品に問題はありませんでした。_x000D_
　　（要因分析１を参照）_x000D_
_x000D_
2.通電による動作時に表示されている値が非加圧状態で、約150kNを表示されていました。_x000D_
　また、センサのブリッジ抵抗を計測し、正常品との比較で異常値であることを確認しました、_x000D_
　以上から、センサは破損しています。_x000D_
　　（要因分析２を参照）_x000D_
_x000D_
3.センサのダイヤフラム表面（感圧部）を外観検査したところ、凹み・キズ等が発見されました。_x000D_
　　（要因分析３を参照）_x000D_
</t>
  </si>
  <si>
    <t>\\192.168.1.201\品質管理\顧客要求管理ツール\添付\421_高速ﾃﾞｼﾞﾀﾙ圧力ｽｲｯﾁ KNS70-70MPaKNS70_エヌピーエーシステム株式会社_エヌピーエーシステム（株）_不具合_上田_20241209.xlsx|Z:\【技術部管理文書】\53_故障解析報告書\完了報告書\421_高速ﾃﾞｼﾞﾀﾙ圧力ｽｲｯﾁ KNS70-70MPaKNS70_エヌピーエーシステム株式会社_エヌピーエーシステム（株）_不具合_上田_20241209.xlsx|</t>
  </si>
  <si>
    <t>_E241209:t-ueda@krone.co.jp&gt;_D250107:masaru-yoshida@krone.co.jp&gt;</t>
  </si>
  <si>
    <t xml:space="preserve"> 1|KNS70,高速ﾃﾞｼﾞﾀﾙ圧力ｽｲｯﾁ KNS70-70MPa,,2,J231100289-00,,2025/1/7,ユーザー責,残留品有り|</t>
  </si>
  <si>
    <t>ε誤納入</t>
  </si>
  <si>
    <t>2025/01/30 17:04:50</t>
  </si>
  <si>
    <t>修理･調整の可否</t>
  </si>
  <si>
    <t>\\192.168.1.201\品質管理\顧客要求管理ツール\添付\426_KDM30標準_西野産業株式会社_日新電機株式会社_KDM30修理依頼_山本_20241206.xlsx|Z:\【技術部管理文書】\53_故障解析報告書\完了報告書\426_KDM30標準_西野産業株式会社_日新電機株式会社_KDM30修理依頼_山本_20241206.xlsx|</t>
  </si>
  <si>
    <t>_D250130:masaru-yoshida@krone.co.jp&gt;</t>
  </si>
  <si>
    <t>419</t>
  </si>
  <si>
    <t>明治電気工業株式会社　大阪支店</t>
  </si>
  <si>
    <t>KDM30-R修理見積依頼(寺崎電気産業)</t>
  </si>
  <si>
    <t>修理の可否と、修理の際の見積もりについて。</t>
  </si>
  <si>
    <t>KDM30標準_明治電気工業株式会社　大阪支店__KDM30-R修理見積依頼(寺崎電気産業)_山本_20241216</t>
  </si>
  <si>
    <t>2025/01/10 16:50:49</t>
  </si>
  <si>
    <t>使用中に電源が落ち、その後起動しなくなった。</t>
  </si>
  <si>
    <t>ケーブルが付属されていないので解析不能_x000D_
クローネの動作確認用のケーブルで確認したところ異常はありませんでした</t>
  </si>
  <si>
    <t>_E241216:a-yamamoto@krone.co.jp&gt;_D250110:masaru-yoshida@krone.co.jp&gt;</t>
  </si>
  <si>
    <t>427</t>
  </si>
  <si>
    <t>KDM30-1MPaG-B-REKDM30標準_宇野株式会社_三和商事（株）_電源が入らない_上田_20241216</t>
  </si>
  <si>
    <t>宇野</t>
  </si>
  <si>
    <t>宇野株式会社</t>
  </si>
  <si>
    <t>三和商事（株）</t>
  </si>
  <si>
    <t>KDM30-1MP</t>
  </si>
  <si>
    <t>K3G-0001B-R,K3G-0001B-R,</t>
  </si>
  <si>
    <t>KDM30-1MPaG-B-RE,KDM30-1MPaG-B-RE,</t>
  </si>
  <si>
    <t>108302 031,132605 078,</t>
  </si>
  <si>
    <t>電源が入らない</t>
  </si>
  <si>
    <t>電源が入らない状態です。_x000D_
汚れもひどく、センサー部への付着物もあり。</t>
  </si>
  <si>
    <t xml:space="preserve">KDM30-1MPaG-B-RE 108302 031_x000D_
 メンブレンスイッチの内部が何らかの原因で破損しスイッチが全てきかなくなっていた。_x000D_
 外観上では汚れている部分に一部液体が付着した跡がありそれがスイッチ内部に浸透し_x000D_
 スイッチ動作の不具合を起こした原因になっている可能性があります。_x000D_
 メンブレンスイッチは全てのスイッチが動作していませんでした。_x000D_
_x000D_
KDM30-1MPaG-B-RE 132605 078_x000D_
 ボディの回し過ぎが原因となります。_x000D_
 センサーケーブル、メインケーブル、FG線が巻き付きで断線していました。_x000D_
 ボディも回し過ぎにより破損し交換が必要です。_x000D_
 メイン基板もフロントカバーから外れていました。_x000D_
</t>
  </si>
  <si>
    <t>KDM30-1MPaG-B-RE 108302 031_x000D_
 メンブレンスイッチ破損によりPowerボタンが押せず電源が入らなかった。_x000D_
 センサー内部を確認した所、錆が多くありセンサー交換も必要です。_x000D_
 フロントカバー、圧力センサー、再校正により修理が可能です。_x000D_
液体や油などがKDM30内部に浸透しないよう気を付けてご使用ください_x000D_
KDM30-1MPaG-B-RE 132605 078_x000D_
 ボディの回し過ぎによる内部ハーネス破損により電源が入らなくなっていた。_x000D_
 又、落下などによるメイン基板のフロントカバーからの外れていた。_x000D_
 圧力センサー内部も錆が多く交換が必要です。_x000D_
 ボディ交換、メインケーブル、FG線、圧力センサー、再校正により修理が可能です。_x000D_
ボディの廻しすぎ以外にも上記度同様に液体の浸潤の可能性があります気をつけてご使用下さい</t>
  </si>
  <si>
    <t>\\192.168.1.201\品質管理\顧客要求管理ツール\添付\429_KDM30-1MPaG-B-REKDM30標準_宇野株式会社_三和商事（株）_電源が入らない_上田_20241216.xlsx|Z:\【技術部管理文書】\53_故障解析報告書\完了報告書\429_KDM30-1MPaG-B-REKDM30標準_宇野株式会社_三和商事（株）_電源が入らない_上田_20241216.xlsx|</t>
  </si>
  <si>
    <t>_E241216:t-ueda@krone.co.jp&gt;</t>
  </si>
  <si>
    <t xml:space="preserve"> 2|K3G-0001B-R,KDM30-1MPaG-B-RE,108302 031,1,,技術,2024/12/18,ユーザー責,|K3G-0001B-R,KDM30-1MPaG-B-RE,132605 078,1,,技術,2024/12/18,ユーザー責,|</t>
  </si>
  <si>
    <t>KDM30-500kPaG-B-BLKDM30標準_アズワン株式会社_富士システムズ_不具合_上田_20241218</t>
  </si>
  <si>
    <t>富士システムズ</t>
  </si>
  <si>
    <t>2025/02/27 9:52:22</t>
  </si>
  <si>
    <t>KDM30-500kPaG-B-BL</t>
  </si>
  <si>
    <t>33302 065,</t>
  </si>
  <si>
    <t>KDM30 v1.21について、kPaからMPaに変わってしまった</t>
  </si>
  <si>
    <t>無償にて対策済みの現行の最新バージョンにバージョンアップして再校正致します。_x000D_
_x000D_
センサーケーブル、FG線の捩れを確認しました。[1]_x000D_
過回転ストッパーの破損を確認しました。[2]_x000D_
修理はボディ交換、センサ交換、FG線交換です。</t>
  </si>
  <si>
    <t>\\192.168.1.201\品質管理\顧客要求管理ツール\添付\430_KDM30-500kPaG-B-BLKDM30標準_アズワン株式会社_富士システムズ_不具合_上田_20241218.xlsx|Z:\【技術部管理文書】\53_故障解析報告書\解析中\430_KDM30-500kPaG-B-BLKDM30標準_アズワン株式会社_富士システムズ_不具合_上田_20241218.xlsx|</t>
  </si>
  <si>
    <t>_E241218:t-ueda@krone.co.jp&gt;_E250227:masaru-yoshida@krone.co.jp&gt;_D250227:masaru-yoshida@krone.co.jp&gt;</t>
  </si>
  <si>
    <t xml:space="preserve"> 1|K3G-0.50B-B,KDM30-500kPaG-B-BL,33302 065,1,,,2025/2/27,ユーザー責,残留品有り|</t>
  </si>
  <si>
    <t>KDM30-1MPaG-A-RE-ZKDM30MW2.4_アズワン株式会社_ｱｽﾞﾜﾝ㈱修理ｻｰﾋﾞｽGrﾃｸﾆｶﾙｾﾝﾀｰ棟_顧客依頼番号：422-000316-01　KDM30の電源が入らない件_大平　厚志_20241118</t>
  </si>
  <si>
    <t>ｱｽﾞﾜﾝ㈱修理ｻｰﾋﾞｽGrﾃｸﾆｶﾙｾﾝﾀｰ棟</t>
  </si>
  <si>
    <t>2024/12/20 11:51:07</t>
  </si>
  <si>
    <t>K3G-0001A-RZ,</t>
  </si>
  <si>
    <t>KDM30-1MPaG-A-RE-Z,</t>
  </si>
  <si>
    <t>115441 042,</t>
  </si>
  <si>
    <t>顧客依頼番号：422-000316-01　KDM30の電源が入らない件</t>
  </si>
  <si>
    <t>KDM30の電源が入らなくなった。_x000D_
アース線にゆるみがあり接地が上手く出来ていなかった可能性有</t>
  </si>
  <si>
    <t xml:space="preserve">AC/DCアダプターの有償購入を願います。_x000D_
</t>
  </si>
  <si>
    <t>現品確認にて、本体の不具合は確認出来ませんでした。但し、付属のAC/DCアダプターを接続する事により、KDM30の電源が入らない事が判明、社内設備のAC/DCアダプター接続では、正常動作の為、顧客使用のAC/DCアダプターが断線等の原因による不良と思われます。</t>
  </si>
  <si>
    <t>_E241218:atsushi-ohira@krone.co.jp&gt;_D241220:t-yotsukura@krone.co.jp&gt;</t>
  </si>
  <si>
    <t xml:space="preserve"> 1|K3G-0001A-RZ,KDM30-1MPaG-A-RE-Z,115441 042,1,,,,,|</t>
  </si>
  <si>
    <t>37719</t>
  </si>
  <si>
    <t>秋葉</t>
  </si>
  <si>
    <t>ヤマグチ</t>
  </si>
  <si>
    <t>株式会社ヤマグチ</t>
  </si>
  <si>
    <t>（株）ヤマグチ</t>
  </si>
  <si>
    <t>KDM30α-5MPaG-B-RE-T</t>
  </si>
  <si>
    <t>K3aG-0005B-RT,</t>
  </si>
  <si>
    <t>KDM30α-5MPaG-B-RE-T,</t>
  </si>
  <si>
    <t>製品出荷忘れ</t>
  </si>
  <si>
    <t>KDM30α2台受注し、ﾌﾞｻﾞｰﾀｲﾌﾟのみ出荷、Bluetooth出力モデルが出荷されていない。</t>
  </si>
  <si>
    <t>お客様から連絡あり。</t>
  </si>
  <si>
    <t>r-akiha@krone.co.jp</t>
  </si>
  <si>
    <t xml:space="preserve"> 1|K3aG-0005B-RT,KDM30α-5MPaG-B-RE-T,,1,J241200162-00,,,,|</t>
  </si>
  <si>
    <t>大</t>
  </si>
  <si>
    <t>徳永</t>
  </si>
  <si>
    <t>432</t>
  </si>
  <si>
    <t>KDM30-70MPaG-B-YLKDM30標準_アズワン株式会社_ｱｽﾞﾜﾝ㈱　大阪物流ｾﾝﾀｰ_依頼番号：422-000472-01の件_大平_20241226</t>
  </si>
  <si>
    <t>12302</t>
  </si>
  <si>
    <t>ｱｽﾞﾜﾝ㈱　大阪物流ｾﾝﾀｰ</t>
  </si>
  <si>
    <t>06-6474-4095</t>
  </si>
  <si>
    <t>2025/01/07 13:19:31</t>
  </si>
  <si>
    <t>K3G-0070B-Y,Z-001,</t>
  </si>
  <si>
    <t>KDM30-70MPaG-B-YL,送料,</t>
  </si>
  <si>
    <t>,,</t>
  </si>
  <si>
    <t>依頼番号：422-000472-01の件</t>
  </si>
  <si>
    <t>圧力を掛けても表示が動かない。_x000D_
中で何かカラカラと音がしている。</t>
  </si>
  <si>
    <t>首振り330°以上の回転による不具合(顧客責任)_x000D_
圧力センサー・本体ボディー・内部接続ケーブルの交換が必要です。_x000D_
内部写真をご確認願い、修理可否を別途指示願います。</t>
  </si>
  <si>
    <t>\\192.168.1.201\品質管理\顧客要求管理ツール\添付\440_20250107_130535166.JPG|</t>
  </si>
  <si>
    <t>_E241227:atsushi-ohira@krone.co.jp&gt;_D250107:t-yotsukura@krone.co.jp&gt;</t>
  </si>
  <si>
    <t xml:space="preserve"> 2|K3G-0070B-Y,KDM30-70MPaG-B-YL,,1,J220700166-00,,,,|Z-001,送料,,1,0,,,,|</t>
  </si>
  <si>
    <t>KDM30-5MPaG-B-BLKDM30標準_宇野株式会社__ｹｰｽの前面がじれて外れて戻らない_上田_11111111</t>
  </si>
  <si>
    <t>K3G-0005B-B,</t>
  </si>
  <si>
    <t>KDM30-5MPaG-B-BL,</t>
  </si>
  <si>
    <t>Da0017,</t>
  </si>
  <si>
    <t>ｹｰｽの前面がじれて外れて戻らない</t>
  </si>
  <si>
    <t>前面ケースは割れて戻らない。_x000D_
中のケーブルはあよじれている</t>
  </si>
  <si>
    <t>_E250121:t-ueda@krone.co.jp&gt;</t>
  </si>
  <si>
    <t xml:space="preserve"> 1|K3G-0005B-B,KDM30-5MPaG-B-BL,Da0017,1,,,,,|</t>
  </si>
  <si>
    <t>KS3200-2500Pa-I-N-N-C-G社内_その他特殊仕様_ヒューグル開発株式会社_ヒューグル開発株式会社_電源を入れると表示が一瞬ついて消えるという事象_藤原　崇寛_20250122</t>
  </si>
  <si>
    <t>ヒューグル開発株式会社</t>
  </si>
  <si>
    <t>2025/01/31 16:40:08</t>
  </si>
  <si>
    <t>KS32H-INNCG,</t>
  </si>
  <si>
    <t>KS3200-2500Pa-I-N-N-C-G,</t>
  </si>
  <si>
    <t>R003945,</t>
  </si>
  <si>
    <t>電源を入れると表示が一瞬ついて消えるという事象</t>
  </si>
  <si>
    <t>電源を入れると表示が一瞬ついて消えるという事象が発生しました。</t>
  </si>
  <si>
    <t>原因解析と修理可能の有無を調査して下さい。</t>
  </si>
  <si>
    <t>出荷検査では正常動作していますので、現象から推定すると下記の原因が想定されます_x000D_
・異物混入による電源セミショート_x000D_
１）機器が起動し電源-GND間のセミショートにより温度ヒューズが働き電源断_x000D_
２）異物がなくなることにより復帰_x000D_
・異物混入によるセンサー出力ショート_x000D_
１）機器が起動しセンサー出力がショートしCPUに信号が送られずブラックアウト_x000D_
２）異物がなくなることにより復帰_x000D_
_x000D_
機器内部から異物は発見されませんでした。_x000D_
開梱した状態で解析に回ってきたためケース内の異物は確認できませんでした</t>
  </si>
  <si>
    <t>該当機器を確認したところ現象が再現しませんでした。_x000D_
したがって原因は不明です。_x000D_
KS3200はリリースして間もない機器であることから新品交換にて対応いたします</t>
  </si>
  <si>
    <t>\\192.168.1.201\品質管理\顧客要求管理ツール\添付\446_KS3200-2500Pa-I-N-N-C-G社内_その他特殊仕様_ヒューグル開発株式会社_ヒューグル開発株式会社_電源を入れると表示が一瞬ついて消えるという事象_藤原　崇寛_20250122.xlsx|Z:\【技術部管理文書】\53_故障解析報告書\完了報告書\446_KS3200-2500Pa-I-N-N-C-G社内_その他特殊仕様_ヒューグル開発株式会社_ヒューグル開発株式会社_電源を入れると表示が一瞬ついて消えるという事象_藤原　崇寛_20250122.xlsx|</t>
  </si>
  <si>
    <t xml:space="preserve">_taka-fujiwara@krone.co.jp &gt; _masaru-yoshida@krone.co.jp &gt; </t>
  </si>
  <si>
    <t xml:space="preserve"> 1|KS32H-INNCG,KS3200-2500Pa-I-N-N-C-G,R003945,1,,,2025/01/31,自責,残留品有り|</t>
  </si>
  <si>
    <t>RS232C出力用D-subｹｰﾌﾞﾙ(2.5m)AC100V_エヌピーエーシステム株式会社_エヌピーエーシステム（株）_ｹｰﾌﾞﾙ不具合_上田_20250123</t>
  </si>
  <si>
    <t>36508</t>
  </si>
  <si>
    <t>2025/03/05 14:09:29</t>
  </si>
  <si>
    <t>K3-OP-15,</t>
  </si>
  <si>
    <t>RS232C出力用/D-subｹｰﾌﾞﾙ(2.5m)AC100V,</t>
  </si>
  <si>
    <t>ｹｰﾌﾞﾙ不具合</t>
  </si>
  <si>
    <t xml:space="preserve">電源が付かない。たまに付いたりする。接触不良の可能性あり。_x000D_
代替のケーブルを使用した際は、問題なく使用できた。_x000D_
</t>
  </si>
  <si>
    <t>コネクタの端子、半田接合、圧接接合部それぞれ確認した所、DCジャックの＋側端子の接触不良に_x000D_
より電源が入るが少し力をかけただけで接触が外れOFFになってしまう症状になっていました。_x000D_
_x000D_
DCジャック＋端子を目視で確認しましたが見える範囲で不具合の原因になるような物は_x000D_
見つけられませんでした。_x000D_
_x000D_
DCジャック自体の不具合であることはは間違いありませんが、これ以上の解析は難しいと考えます。</t>
  </si>
  <si>
    <t>DCジャック端子の接触不良により電源がOFFになる症状が発生していました。_x000D_
_x000D_
ケーブル交換により対応いたします。</t>
  </si>
  <si>
    <t>\\192.168.1.201\品質管理\顧客要求管理ツール\添付\447_RS232C出力用D-subｹｰﾌﾞﾙ(2.5m)AC100V_エヌピーエーシステム株式会社_エヌピーエーシステム（株）_ｹｰﾌﾞﾙ不具合_上田_20250123.xlsx|Z:\【技術部管理文書】\53_故障解析報告書\完了報告書\447_RS232C出力用D-subｹｰﾌﾞﾙ(2.5m)AC100V_エヌピーエーシステム株式会社_エヌピーエーシステム（株）_ｹｰﾌﾞﾙ不具合_上田_20250123.xlsx|</t>
  </si>
  <si>
    <t>_E250123:t-ueda@krone.co.jp&gt;_D250305:masaru-yoshida@krone.co.jp&gt;_D250305:masaru-yoshida@krone.co.jp&gt;</t>
  </si>
  <si>
    <t xml:space="preserve"> 1|K3-OP-15,RS232C出力用/D-subｹｰﾌﾞﾙ(2.5m)AC100V,,1,J241001057-00,,2025/3/5,自責,代品発送済|</t>
  </si>
  <si>
    <t>KAW20 920MmAKAW20920_株式会社日本医化器械製作所_株式会社日本医化器械製作所_日本医化器械製作所解析依頼_大平　厚志_20250123</t>
  </si>
  <si>
    <t>37104</t>
  </si>
  <si>
    <t>日本医化</t>
  </si>
  <si>
    <t>株式会社日本医化器械製作所</t>
  </si>
  <si>
    <t>2025/01/30 15:20:46</t>
  </si>
  <si>
    <t>社内_無線</t>
  </si>
  <si>
    <t>KAW20</t>
  </si>
  <si>
    <t>KAW20-920A,</t>
  </si>
  <si>
    <t>KAW20 920M/mA,</t>
  </si>
  <si>
    <t>R2248005A,</t>
  </si>
  <si>
    <t>日本医化器械製作所解析依頼</t>
  </si>
  <si>
    <t>KS3200に接続し、無線接続しても圧力値が変わらない。_x000D_
また、バッテリーレベルが0から動かない</t>
  </si>
  <si>
    <t>原因を解析したところ、アナログ入力値を無線データにスケーリングする際に必要なパラメータが異常値になっておりました。_x000D_
その要因として供給電源の不安定さが考えられます。_x000D_
頂いたcsvデータを確認すると、異常発生前の段階から電池電圧が3.5V～4.1V間で前後しており、不安定であったと思われます。KAW20のUSB電源駆動では5Vが入力されることが前提で設計されているため今回のような定格以下で安定していない電源が供給される場合マイコンへの電源供給も安定せず,プログラムに障害が生じ今回のような異常動作が発生したと考えられます</t>
  </si>
  <si>
    <t>現品を確認した結果、無線データが異常値を示していることが確認できました。_x000D_
バッテリーレベルに関しては正常に出力しているものの上記影響により電文フォーマットが崩れ、データ位置にずれが生じたことにより0から動かないように見えていたと思われます。_x000D_
原因は定格外の電源が供給されているためと考えられますので、まずは電源5Vが安定して供給されているか確認願います。_x000D_
プログラム再書き込み、再調整で修理可能です。_x000D_
*原因が供給電源によるものであれば有償での修理となります</t>
  </si>
  <si>
    <t>\\192.168.1.201\品質管理\顧客要求管理ツール\添付\449_KAW20 920MmAKAW20920_株式会社日本医化器械製作所_株式会社日本医化器械製作所_日本医化器械製作所解析依頼_大平　厚志_20250123.xlsx|Z:\【技術部管理文書】\53_故障解析報告書\完了報告書\449_KAW20 920MmAKAW20920_株式会社日本医化器械製作所_株式会社日本医化器械製作所_日本医化器械製作所解析依頼_大平　厚志_20250123.xlsx|</t>
  </si>
  <si>
    <t>_E250124:atsushi-ohira@krone.co.jp&gt;_D250130:masaru-yoshida@krone.co.jp&gt;</t>
  </si>
  <si>
    <t xml:space="preserve"> 1|KAW20-920A,KAW20 920M/mA,R2248005A,1,J241100433-00,,2025/01/30,ユーザー責,残留品有り|</t>
  </si>
  <si>
    <t>KS2900-1000Pa-I-N-N-N-GKS2900_2S4　大日本SCR株式会社 SE枚葉__社内_KS系ゼロ点シフト_ゼロ点シフト発生の件_大平　厚志_20250123</t>
  </si>
  <si>
    <t>W160892_W165796_W165795_W145660,</t>
  </si>
  <si>
    <t>ゼロ点シフト発生の件</t>
  </si>
  <si>
    <t>返却後電源投入時、W165795：-15Pa、W160892：-11Pa、W165796：+4Pa、W145660：0Paを表示_x000D_
現地からのずれの報告は、それぞれ、+10Pa、-7Pa、+8Pa、+8Paの報告</t>
  </si>
  <si>
    <t>出荷時と、返却時のゼロ点を比較の上、合否考察をお願い致します。</t>
  </si>
  <si>
    <t xml:space="preserve">〇圧力基準機による校正を行い、出荷検査との比較を行ったところ、各機能に問題ありません。 (要因分析1）_x000D_
_x000D_
下記の3通りの検証を実施し、対象の4台に異常が確認されました。（要因分析５を参照）_x000D_
　　・1週間の通電エイジング検査　 (要因分析２）_x000D_
　　・センサ出力電圧検査　　　　　　（要因分析３）_x000D_
　　・20時間の継続的な圧力モニタ （要因分析４）_x000D_
_x000D_
異常が確認された機器は2023年2月頃に検査を実施していたものです。_x000D_
この時期に生産した機器は要因分析１で実施した通電エイジングのみで出荷可否判定を実施していた為、今回のセンサの異常が発見できなかったものと考えられます。_x000D_
_x000D_
センサー出力電圧検査は2023年5月～、継続的な圧力モニタは2023年10月～実施しています。_x000D_
従いまして、現在は今回の不具合は検査で出荷を押さえる事ができます。_x000D_
_x000D_
_x000D_
</t>
  </si>
  <si>
    <t>\\192.168.1.201\品質管理\顧客要求管理ツール\添付\450_KS2900-1000Pa-I-N-N-N-GKS2900_2S4　大日本SCR株式会社 SE枚葉__社内_KS系ゼロ点シフト_ゼロ点シフト発生の件_大平　厚志_20250123.xlsx|\\192.168.1.201\品質管理\顧客要求管理ツール\添付\450_3S9285572Z-01 .pdf.xlsx|Z:\【技術部管理文書】\53_故障解析報告書\完了報告書\450_KS2900-1000Pa-I-N-N-N-GKS2900_2S4　大日本SCR株式会社 SE枚葉__社内_KS系ゼロ点シフト_ゼロ点シフト発生の件_大平　厚志_20250123.xlsx|</t>
  </si>
  <si>
    <t>_E250124:atsushi-ohira@krone.co.jp&gt;</t>
  </si>
  <si>
    <t xml:space="preserve"> 1|KS29F-INNNG,KS2900-1000Pa-I-N-N-N-G,W160892_W165796_W165795_W145660,1,,,,,|</t>
  </si>
  <si>
    <t>KDM30-5MPaG-B-BLKDM30標準_宇野株式会社__ｹｰｽの前面がじれて外れて戻らない_上田_20250121</t>
  </si>
  <si>
    <t>2025/02/27 9:48:57</t>
  </si>
  <si>
    <t>KDM本体を持って配管を行うと、ストッパーを破損しケーブルが捩れていきます。それが繰り返され、FG線が断線し、センサが静電破壊したと考えられます。_x000D_
本体に細かい傷が多く付いていたので、断続的な衝撃が与えられていたと考えられます。衝撃によってフロントパネルやボディのツメが曲がり、ディスプレイが外れたと考えられます。</t>
  </si>
  <si>
    <t>FG線が断線していました。[1]_x000D_
センサが静電破壊されていました。[2]_x000D_
過回転ストッパーが破損していました。[3]_x000D_
ディスプレイを押さえるフロントパネルのツメが曲がっていました。[4]_x000D_
ボディのツメが破損していました。[5]_x000D_
_x000D_
修理はフロントパネル交換、ボディ交換、センサ交換、FG線交換、再校正です。</t>
  </si>
  <si>
    <t>\\192.168.1.201\品質管理\顧客要求管理ツール\添付\452_KDM30-5MPaG-B-BLKDM30標準_宇野株式会社__ｹｰｽの前面がじれて外れて戻らない_上田_20250121.xlsx|</t>
  </si>
  <si>
    <t>_D250227:masaru-yoshida@krone.co.jp&gt;</t>
  </si>
  <si>
    <t>444</t>
  </si>
  <si>
    <t xml:space="preserve"> 1|K3G-0005B-B,KDM30-5MPaG-B-BL,Da0017,1,,,2025/2/27,ユーザー責,残留品有り|</t>
  </si>
  <si>
    <t>KS29F-INNCG,</t>
  </si>
  <si>
    <t>KS2900-1000Pa-I-N-N-C-G,</t>
  </si>
  <si>
    <t>KS3200-1000Pa-I-N-N-N-G</t>
  </si>
  <si>
    <t>KS32F-INNNG,</t>
  </si>
  <si>
    <t>KS3200-1000Pa-I-N-N-N-G,</t>
  </si>
  <si>
    <t>KS14001-01L_KS3200_組立作業指示書</t>
  </si>
  <si>
    <t>KDM30-1MPaG-A-BL-VKDM30標準_株式会社誠試工_（株）誠試工_出力がでない_上田_20250204</t>
  </si>
  <si>
    <t>33939</t>
  </si>
  <si>
    <t>株式会社誠試工</t>
  </si>
  <si>
    <t>（株）誠試工</t>
  </si>
  <si>
    <t>2025/02/27 10:23:54</t>
  </si>
  <si>
    <t>K3G-0001A-BV,</t>
  </si>
  <si>
    <t>KDM30-1MPaG-A-BL-V,</t>
  </si>
  <si>
    <t>143074 070,</t>
  </si>
  <si>
    <t>出力がでない</t>
  </si>
  <si>
    <t>1-5Vの出力がでない。</t>
  </si>
  <si>
    <t>電圧出力の端子(AO+)が電圧出力中にGND等とショートがあり_x000D_
出力トランジスタが破損した物と思われます。_x000D_
_x000D_
出力電圧を確認した所、トランジスタ以降は電圧が出ていませんでした。</t>
  </si>
  <si>
    <t xml:space="preserve">アナログ出力端子(AO+)がGND等とショートし出力回路のトランジスタが破損し電圧出力が_x000D_
出ない状態になっていました。_x000D_
トランジスタ付近の基板と抵抗が黒く変色していた為基板交換が必要になります。_x000D_
_x000D_
バッテリー基板交換、再校正により修理が可能です。_x000D_
</t>
  </si>
  <si>
    <t>\\192.168.1.201\品質管理\顧客要求管理ツール\添付\459_KDM30-1MPaG-A-BL-VKDM30標準_株式会社誠試工_（株）誠試工_出力がでない_上田_20250204.xlsx|Z:\【技術部管理文書】\53_故障解析報告書\完了報告書\459_KDM30-1MPaG-A-BL-VKDM30標準_株式会社誠試工_（株）誠試工_出力がでない_上田_20250204.xlsx|</t>
  </si>
  <si>
    <t>_E250204:t-ueda@krone.co.jp&gt;_D250227:masaru-yoshida@krone.co.jp&gt;</t>
  </si>
  <si>
    <t xml:space="preserve"> 1|K3G-0001A-BV,KDM30-1MPaG-A-BL-V,143074 070,1,J240700642-00,,2025/2/27,ユーザー責,残留品有り|</t>
  </si>
  <si>
    <t>KDM30-5MPaG-B-BLKDM30標準_ニプロ株式会社_ニプロ（株）愛知工場_ｾﾝｻ破損_上田_20250205</t>
  </si>
  <si>
    <t>ニプロ（株）愛知工場</t>
  </si>
  <si>
    <t>2025/02/21 9:17:31</t>
  </si>
  <si>
    <t>78671 021,</t>
  </si>
  <si>
    <t>ｾﾝｻ破損</t>
  </si>
  <si>
    <t>加圧しても圧力が変動しなくなりました。</t>
  </si>
  <si>
    <t>アース線が切れている事は確認済みです。</t>
  </si>
  <si>
    <t>係数設定による表示値異常で、センサの耐圧を超える圧力を加圧されたことでセンサ故障の可能性はあります。_x000D_
（センサの耐圧はフルスケールの２倍で１０MPaです）_x000D_
アースケーブルが断線されており、静電気に対して弱くなることから、静電破壊の可能性もあります。</t>
  </si>
  <si>
    <t xml:space="preserve">〇下記３点の異常を確認しました。_x000D_
１. 係数設定[ Ct.FH ]がフルスケールに対し、0.001倍されたことで、1MPa以上計測されないと[ ００００MPa ]の表示から変動されませんでした。_x000D_
２. センサの出力抵抗に異常値を確認しました。_x000D_
　　計測値：3.68kΩ（正常値：4kΩ～6kΩ）_x000D_
　　そのため、圧力が変動される状態で基準圧を加圧しても異常値を表示します。_x000D_
３. アースケーブルの断線・ボディの回転機構ストッパーが破損されています。_x000D_
　　センサ側の回転機構限界３３０°を上回って回転したことで、破損されたと考えられます。_x000D_
_x000D_
※モード２設定の係数設定[ Ct.FH ]が[ FH.on ]・[ ９．９９９ ]・[０００１]に設定されてい_x000D_
ました。_x000D_
　　上記設定は、レンジのフルスケールに対して、0.001倍の係数が設定されることになります。_x000D_
_x000D_
　　よって、フルスケール：5.000 x 係数0.001 ＝0.005（係数フルスケール）になります。_x000D_
　　（単位は係数設定と関係ないため、5MPa加圧されると、0.005MPaと表示される）_x000D_
　　_x000D_
〇修理について_x000D_
_x000D_
アースケーブルとボディ、センサ交換、再校正_x000D_
</t>
  </si>
  <si>
    <t>\\192.168.1.201\品質管理\顧客要求管理ツール\添付\460_KDM30-5MPaG-B-BLKDM30標準_ニプロ株式会社_ニプロ（株）愛知工場_ｾﾝｻ破損_上田_20250205.xlsx|Z:\【技術部管理文書】\53_故障解析報告書\完了報告書\460_KDM30-5MPaG-B-BLKDM30標準_ニプロ株式会社_ニプロ（株）愛知工場_ｾﾝｻ破損_上田_20250205.xlsx|</t>
  </si>
  <si>
    <t>_E250205:t-ueda@krone.co.jp&gt;_D250221:masaru-yoshida@krone.co.jp&gt;</t>
  </si>
  <si>
    <t xml:space="preserve"> 1|K3G-0005B-B,KDM30-5MPaG-B-BL,78671 021,1,,,2024/2/21,ユーザー責,残留品有り|</t>
  </si>
  <si>
    <t>KAW20 920MmAKAW20920_株式会社日本医化器械製作所_株式会社日本医化器械製作所_アナログ無線変換器不具合の件_大平　厚志_20250212</t>
  </si>
  <si>
    <t>36893</t>
  </si>
  <si>
    <t>日本医化器械</t>
  </si>
  <si>
    <t>2025/02/19 11:40:12</t>
  </si>
  <si>
    <t>KAW</t>
  </si>
  <si>
    <t>R224C009A,</t>
  </si>
  <si>
    <t>アナログ無線変換器不具合の件</t>
  </si>
  <si>
    <t>低電圧で稼働したことによるソフト破損と思われる。_x000D_
同封してある、ACアダプターが不具合と考えられる為、確認をお願いします。</t>
  </si>
  <si>
    <t>否</t>
  </si>
  <si>
    <t>ACアダプタの接続先でショートが発生した可能性、もしくはACアダプタ自体の不良の可能性が考えられます。_x000D_
_x000D_
原因を特定するには「電源→ACアダプタ→KAW20→センサー」の接続がどのようになっているか、それぞれ定格の範囲内で動作しているか、この問題発生個所はACアダプタに付随しているかなどより細かい情報が必要になります。</t>
  </si>
  <si>
    <t>ACアダプタが破壊されており、正常に電圧供給がされておりませんでした。_x000D_
ACアダプタの各ピンの抵抗値は正常品と変わりなく、外観に異常も見られませんでしたが、電圧が出力されておりませんでした。_x000D_
ACアダプタの初期不良または定格を超える負荷がかかった可能性があります。</t>
  </si>
  <si>
    <t>\\192.168.1.201\品質管理\顧客要求管理ツール\添付\463_KAW20 920MmAKAW20920_株式会社日本医化器械製作所_株式会社日本医化器械製作所_アナログ無線変換器不具合の件_大平　厚志_20250212.xlsx|Z:\【技術部管理文書】\53_故障解析報告書\完了報告書\463_KAW20 920MmAKAW20920_株式会社日本医化器械製作所_株式会社日本医化器械製作所_アナログ無線変換器不具合の件_大平　厚志_20250212.xlsx|</t>
  </si>
  <si>
    <t>_E250212:atsushi-ohira@krone.co.jp&gt;_D250218:masaru-yoshida@krone.co.jp&gt;_D250219:masaru-yoshida@krone.co.jp&gt;_D250219:masaru-yoshida@krone.co.jp&gt;</t>
  </si>
  <si>
    <t xml:space="preserve"> 1|KAW20-920A,KAW20 920M/mA,R224C009A,1,J241100099-00,,2025/2/18,ユーザー責,残留品有り|</t>
  </si>
  <si>
    <t>KDM30α-1MPaG-B-BL-TKDM30BT_宇野株式会社_富士見機工（株）_C.err表記になっている_上田_20250213</t>
  </si>
  <si>
    <t>38231</t>
  </si>
  <si>
    <t>富士見機工（株）</t>
  </si>
  <si>
    <t>2025/03/10 13:35:43</t>
  </si>
  <si>
    <t>K3aG-0001B-BT,</t>
  </si>
  <si>
    <t>KDM30α-1MPaG-B-BL-T,</t>
  </si>
  <si>
    <t>C.err表記になっている</t>
  </si>
  <si>
    <t>C.err表記で計測不可となっています。_x000D_
調査お願いします。</t>
  </si>
  <si>
    <t>中を開けるとセンサぐるぐる巻きになっていました。_x000D_
おそらくセンサが壊れていると思われます。</t>
  </si>
  <si>
    <t>[ C.Err ]の表示は内部に保存してある校正値(Caribrationが異常な時に表示されるエラーで_x000D_
圧力センサーからのケーブルが巻き付きにより断線した状態で強制ゼロの操作を行うと_x000D_
ゼロ点の校正値が正常値からかけ離れrた値になり、それにより異常と判断され_x000D_
[ C.Errr ]となります。</t>
  </si>
  <si>
    <t>首振り機構の回し過ぎにより内部ケーブル類が過度の巻き付きを起こしてしまい_x000D_
ケーブルが断線していました。_x000D_
ボディの回し過ぎストッパーも破損していました。_x000D_
圧力センサーとボディ、内部ケーブル、FG線交換及び再校正により修理が可能です。</t>
  </si>
  <si>
    <t>\\192.168.1.201\品質管理\顧客要求管理ツール\添付\464_KDM30α-1MPaG-B-BL-TKDM30BT_宇野株式会社_富士見機工（株）_C.err表記になっている_上田_20250213.xlsx|Z:\【技術部管理文書】\53_故障解析報告書\完了報告書\464_KDM30α-1MPaG-B-BL-TKDM30BT_宇野株式会社_富士見機工（株）_C.err表記になっている_上田_20250213.xlsx|</t>
  </si>
  <si>
    <t>_E250213:t-ueda@krone.co.jp&gt;_E250228:masaru-yoshida@krone.co.jp&gt;_D250310:masaru-yoshida@krone.co.jp&gt;</t>
  </si>
  <si>
    <t xml:space="preserve"> 1|K3aG-0001B-BT,KDM30α-1MPaG-B-BL-T,,1,J241200788-00,,2024/2/28,ユーザー責,残留品有り|</t>
  </si>
  <si>
    <t>KS2900-1000Pa-I-N-N-C-GKS2900_株式会社荏原製作所_株式会社荏原製作所_社内_KS系KS2900LCD不良_KS2900　表示欠け_藤原　崇寛_20250217</t>
  </si>
  <si>
    <t>荏原製作所</t>
  </si>
  <si>
    <t>株式会社荏原製作所</t>
  </si>
  <si>
    <t>2025/04/15 13:30:16</t>
  </si>
  <si>
    <t>W167128_ W175709,</t>
  </si>
  <si>
    <t>KS2900　表示欠け</t>
  </si>
  <si>
    <t>表示欠けの調査をお願いします。</t>
  </si>
  <si>
    <t>LCD部品の初期不良と思われます。KS２９００の製造工程でLCDに負荷がかかる工程は、「半田付けの取付」と「組立」になります。_x000D_
半田付けでは、半田付け温度・時間を管理しているため、問題はありません。_x000D_
組立では、LCDに直接 物理的負荷がかからないことや、工場内で静電気対策をおこなっており、問題はありません。_x000D_
また、画面表示は圧力値・アナログ出力の校正・調整に確認することに加え、全点灯表示を工程内検査と出荷検査時に行っています。_x000D_
_x000D_
以上から、LCDの内部配線が不安定に接続されていたものが、輸送などの振動により導通不良を発生したと考えられます。_x000D_
通常、LCD不良が発生した場合、上記管理や検査で発見することは可能になっています。_x000D_
しかし、今回の不安定な導通に関しては、検査時 輸送などの振動ほどの大きな負荷をかけないため、LCD不良が発生されませんでした。_x000D_
（対策品においても完全に抑えることが困難な不良となっています）</t>
  </si>
  <si>
    <t>LCD部品単体の不良であり、KS２９００の計測・出力等他の箇所に影響はありません。_x000D_
無償にてLCD交換いたします。_x000D_
_x000D_
※現在、同様の表示不良が製造工程にて多発しており、メーカーに問い合わせております。_x000D_
メーカーからは「はんだ作業」の改修を依頼されたため、製造工程に適用し対策としています。_x000D_
（要因分析２を参照）_x000D_
対策品はSN;：１７３３０１から適用しており、今回の解析品のうち１台は対策品になります。_x000D_
しかし、LCD部品の不良を完全に抑えることが困難なため、無償のLCD交換にて対応させていただきます。</t>
  </si>
  <si>
    <t>\\192.168.1.201\品質管理\顧客要求管理ツール\添付\465_KS2900-1000Pa-I-N-N-C-GKS2900_株式会社荏原製作所_株式会社荏原製作所_社内_KS系KS2900LCD不良_KS2900　表示欠け_藤原　崇寛_20250217.xlsx|Z:\【技術部管理文書】\53_故障解析報告書\完了報告書\465_KS2900-1000Pa-I-N-N-C-GKS2900_株式会社荏原製作所_株式会社荏原製作所_社内_KS系KS2900LCD不良_KS2900　表示欠け_藤原　崇寛_20250217.xlsx|</t>
  </si>
  <si>
    <t>_E250217:taka-fujiwara@krone.co.jp&gt;_D250415:masaru-yoshida@krone.co.jp&gt;</t>
  </si>
  <si>
    <t xml:space="preserve"> 1|KS29F-INNCG,KS2900-1000Pa-I-N-N-C-G,W167128_ W175709,1,,,2025/4/15,自責,残留品有り|</t>
  </si>
  <si>
    <t>KS10233-01B_LCD取り付け指示書</t>
  </si>
  <si>
    <t>KDM30-100kPaG-B-RE-TKDM30BT（BS下関）_株式会社ブリヂストン　下関工場__KDM30-BT修理可否解析_瀬川　晃一_20250225</t>
  </si>
  <si>
    <t>ブリヂストン</t>
  </si>
  <si>
    <t>株式会社ブリヂストン　下関工場</t>
  </si>
  <si>
    <t>2025/03/05 13:37:58</t>
  </si>
  <si>
    <t>KDM30-100kPaG-B-RE-T</t>
  </si>
  <si>
    <t>K3G-0.10B-RT,</t>
  </si>
  <si>
    <t>KDM30-100kPaG-B-RE-T,</t>
  </si>
  <si>
    <t>116900 041,</t>
  </si>
  <si>
    <t>KDM30-BT修理可否解析</t>
  </si>
  <si>
    <t>故障内容は送信機側電源落ち、表示部脱落との報告が有りましたが、電池駆動は問題無かったです。</t>
  </si>
  <si>
    <t>修理可否解析をお願いします</t>
  </si>
  <si>
    <t>落下などの影響でボディの中間リング外れ、フロントカバーからメイン基板外れが発生しています。</t>
  </si>
  <si>
    <t>KDM30のメイン基板がフロントカバーから外れていました。_x000D_
通信テストは送受信問題なく使用できます。_x000D_
ボディから中間リングが外れています。_x000D_
_x000D_
センサー、メイン基板、バッテリー基板、Bluetoothモジュール基板、内部ケーブルは_x000D_
そのまま使用可能です。_x000D_
_x000D_
ボディ、フロントカバー交換により修理は可能です。</t>
  </si>
  <si>
    <t>\\192.168.1.201\品質管理\顧客要求管理ツール\添付\468_KDM30-100kPaG-B-RE-TKDM30BT（BS下関）_株式会社ブリヂストン　下関工場__KDM30-BT修理可否解析_瀬川　晃一_20250225.xlsx|Z:\【技術部管理文書】\53_故障解析報告書\完了報告書\468_KDM30-100kPaG-B-RE-TKDM30BT（BS下関）_株式会社ブリヂストン　下関工場__KDM30-BT修理可否解析_瀬川　晃一_20250225.xlsx|</t>
  </si>
  <si>
    <t>_E250225:segawa@krone.co.jp&gt;_D250305:masaru-yoshida@krone.co.jp&gt;</t>
  </si>
  <si>
    <t>segawa@krone.co.jp</t>
  </si>
  <si>
    <t xml:space="preserve"> 1|K3G-0.10B-RT,KDM30-100kPaG-B-RE-T,116900 041,1,,,2025/3/5,ユーザー責,残留品有り|</t>
  </si>
  <si>
    <t>圧力 校正／修理 その他_大成建設株式会社__多点風圧計ｾﾝｻ　ケーブル断線調査_土井　哲也_20241225</t>
  </si>
  <si>
    <t>大成建設株式会社</t>
  </si>
  <si>
    <t>2025/02/28 10:38:27</t>
  </si>
  <si>
    <t>圧力</t>
  </si>
  <si>
    <t>051-099,</t>
  </si>
  <si>
    <t>圧力 校正／修理 その他,</t>
  </si>
  <si>
    <t>多点風圧計ｾﾝｻ　ケーブル断線調査</t>
  </si>
  <si>
    <t>ケーブルの接触不良が発生した_x000D_
ケーブルの全数検査（有償）の実施</t>
  </si>
  <si>
    <t xml:space="preserve">通電検査_Normal、stress_x000D_
外観検査_D-Subオス、D-Subメス、セントロニクス、ケーブル_x000D_
</t>
  </si>
  <si>
    <t xml:space="preserve">ケーブル分岐部の被覆の剥がれ：センサーユニットにケーブル接続時の自重や何らかの影響でケーブルが引っ張られたことによる張力により被覆がはがれシールドがはがれたものと考えられます。_x000D_
コネクタケース、ケーブルのキズ：衝突等や鋭利な物質が刺さったものと考えられますが軽度であるので動作に影響するものではありません。_x000D_
_x000D_
通常状態の動作確認では異常は認められなかったため、特に異常が疑わしい2本のケーブル（19，20）に関してコネクタの詳細を検査した結果異物の付着（形成）が認められました。_x000D_
上記より以下の過程で接触不良が発生したものと考えられます。_x000D_
_x000D_
_x000D_
_x000D_
</t>
  </si>
  <si>
    <t xml:space="preserve">通電検査、外観検査で重篤な異常は認められませんでした。_x000D_
軽微な異常としてケーブル分岐部の被覆の剥がれ、ケーブルおよびコネクタケースのキズなどがありました。_x000D_
動作に問題ありません。自己癒着テープ等による補修は可能です。_x000D_
他に19，20を詳細に検査したところセントロニクスコネクタの電極に異物の付着が認められました。_x000D_
ケーブル側のコネクタは洗浄により修理可能です。本体（アンプ側）コネクタ側にも異物が付着している可能性が高く、この場合クローネでは修理は困難です_x000D_
_x000D_
検査データを別途添付いたしますので詳細は添付資料をご確認ください_x000D_
検査済みケーブルには黒ドットでマーキングいたします（写真１参照）_x000D_
</t>
  </si>
  <si>
    <t xml:space="preserve">ケーブル側のセントロニクスコネクタの洗浄と被覆の剥がれおよびケーブルキズの補修_x000D_
</t>
  </si>
  <si>
    <t>_E250226:tetsuya-doi@krone.co.jp&gt;_D250228:masaru-yoshida@krone.co.jp&gt;</t>
  </si>
  <si>
    <t xml:space="preserve"> 1|051-099,圧力 校正／修理 その他,,1,,,2025/2/28,ユーザー責,残留品有り|</t>
  </si>
  <si>
    <t>KDM30-100kPaG-B-YL-TKDM30BT_ブリヂストンタイヤジャパン株式会社_ブリヂストンタイヤジャパン（株）_KDM30-BT修理可否解析_瀬川_20250310</t>
  </si>
  <si>
    <t>瀬川</t>
  </si>
  <si>
    <t>ブリヂストンタイヤジャパン株式会社</t>
  </si>
  <si>
    <t>ブリヂストンタイヤジャパン（株）</t>
  </si>
  <si>
    <t>2025/03/13 13:47:46</t>
  </si>
  <si>
    <t>KDM30-100kPaG-B-YL-T</t>
  </si>
  <si>
    <t>K3G-0.10B-YT,</t>
  </si>
  <si>
    <t>KDM30-100kPaG-B-YL-T,</t>
  </si>
  <si>
    <t>130617 052,</t>
  </si>
  <si>
    <t>表示部脱落（電源入らず）</t>
  </si>
  <si>
    <t>修理可否解析お願いします。修理可の場合は交換部品を教えてください。</t>
  </si>
  <si>
    <t>中間リングが外れる位の力がかかっていたので、落下による破損と思われます。</t>
  </si>
  <si>
    <t>落下などの原因により下記破損が確認されました。_x000D_
　・フロントカバーが中間リング部分からボディと分離していました。_x000D_
　・アース線がバッテリー基板から外れかけていました。_x000D_
　・フロントパネルのメンブレンスイッチの端子部分が電極がはがれていました。_x000D_
　・センサーケーブルの被覆が一部剥がれていました。_x000D_
_x000D_
動作確認した所、正常に動作していました。_x000D_
ボディ、フロントカバー、圧力センサー及び再校正にて修理が可能です。</t>
  </si>
  <si>
    <t>\\192.168.1.201\品質管理\顧客要求管理ツール\添付\476_KDM30-100kPaG-B-YL-TKDM30BT_ブリヂストンタイヤジャパン株式会社_ブリヂストンタイヤジャパン（株）_KDM30-BT修理可否解析_瀬川_20250310.xlsx|Z:\【技術部管理文書】\53_故障解析報告書\完了報告書\476_KDM30-100kPaG-B-YL-TKDM30BT_ブリヂストンタイヤジャパン株式会社_ブリヂストンタイヤジャパン（株）_KDM30-BT修理可否解析_瀬川_20250310.xlsx|</t>
  </si>
  <si>
    <t>_E250310:segawa@krone.co.jp&gt;_D250313:masaru-yoshida@krone.co.jp&gt;</t>
  </si>
  <si>
    <t xml:space="preserve"> 1|K3G-0.10B-YT,KDM30-100kPaG-B-YL-T,130617 052,1,,,2025/3/13,ユーザー責,残留品有り|</t>
  </si>
  <si>
    <t>KS3200-±1000Pa-I-N-N-C-NKS3200_Shanghai Yaoning__社内_KS系KS3200LCD不良_LCD表示　不良_藤原　崇寛_11111111</t>
  </si>
  <si>
    <t>Shanghai Yaoning</t>
  </si>
  <si>
    <t>KS3200</t>
  </si>
  <si>
    <t>KS32T</t>
  </si>
  <si>
    <t>KS32T-INNCN,</t>
  </si>
  <si>
    <t>KS3200-±1000Pa-I-N-N-C-N,</t>
  </si>
  <si>
    <t>R002720_R002711_R002770,</t>
  </si>
  <si>
    <t>LCD表示　不良</t>
  </si>
  <si>
    <t>LCD表示が不良との連絡あり、確認をお願いします。</t>
  </si>
  <si>
    <t>KS3200LCD不良</t>
  </si>
  <si>
    <t>_E250311:taka-fujiwara@krone.co.jp&gt;</t>
  </si>
  <si>
    <t xml:space="preserve"> 1|KS32T-INNCN,KS3200-±1000Pa-I-N-N-C-N,R002720_R002711_R002770,3,,,,,|</t>
  </si>
  <si>
    <t>KS2900-1000Pa-I-N-N-C-GKS2900_株式会社荏原製作所__社内_KS系KS2900LCD不良_LCD欠け_藤原　崇寛_20250303</t>
  </si>
  <si>
    <t>2025/04/15 13:24:52</t>
  </si>
  <si>
    <t>KS29F</t>
  </si>
  <si>
    <t>W176102,</t>
  </si>
  <si>
    <t>LCDの欠けが発生しました。調査をお願いします。</t>
  </si>
  <si>
    <t>LCD部品の初期不良と思われます。KS２９００の製造工程でLCDに負荷がかかる工程は、「半田付けの取付」と「組立」になります。_x000D_
半田付けでは、半田付け温度・時間を管理しているため、問題はありません。組立では、LCDに直接 物理的負荷がかからないことや、工場内で静電気対策をおこなっており、問題はありません。_x000D_
また、画面表示は圧力値・アナログ出力の校正・調整に確認することに加え、全点灯表示を工程内検査と出荷検査時に行っています。_x000D_
以上から、LCDの内部配線が不安定に接続されていたものが、輸送などの振動により導通不良を発生したと考えられます。_x000D_
通常、LCD不良が発生した場合、上記管理や検査で発見することは可能になっています。_x000D_
しかし、今回の不安定な導通に関しては、検査時 輸送などの振動ほどの大きな負荷をかけないため、LCD不良が発生されませんでした。（対策品においても完全に抑えることが困難な不良となっています）</t>
  </si>
  <si>
    <t>LCD部品単体の不良であり、KS２９００の計測・出力等他の箇所に影響はありません。_x000D_
無償にてLCD交換いたします。_x000D_
_x000D_
※現在、同様の表示不良が製造工程にて多発しており、メーカーに問い合わせております。_x000D_
メーカーからは「はんだ作業」の改修を依頼されたため、製造工程に適用し対策としています。_x000D_
（要因分析２を参照）_x000D_
対策品はSN;：１７３３０１から適用しており、今回の解析品の１台は対策品になります。_x000D_
しかし、LCD部品の不良を完全に抑えることが困難なため、無償のLCD交換にて対応させていただきます。</t>
  </si>
  <si>
    <t>\\192.168.1.201\品質管理\顧客要求管理ツール\添付\478_KS2900-1000Pa-I-N-N-C-GKS2900_株式会社荏原製作所__社内_KS系KS2900LCD不良_LCD欠け_藤原　崇寛_20250303.xlsx|Z:\【技術部管理文書】\53_故障解析報告書\完了報告書\478_KS2900-1000Pa-I-N-N-C-GKS2900_株式会社荏原製作所__社内_KS系KS2900LCD不良_LCD欠け_藤原　崇寛_20250303.xlsx|</t>
  </si>
  <si>
    <t>_E250311:taka-fujiwara@krone.co.jp&gt;_D250415:masaru-yoshida@krone.co.jp&gt;</t>
  </si>
  <si>
    <t xml:space="preserve"> 1|KS29F-INNCG,KS2900-1000Pa-I-N-N-C-G,W176102,1,,,2025/4/15,自責,残留品有り|</t>
  </si>
  <si>
    <t>社外_調整無</t>
  </si>
  <si>
    <t>604</t>
  </si>
  <si>
    <t>604-S010020,</t>
  </si>
  <si>
    <t>604/300Pa-UL,</t>
  </si>
  <si>
    <t>KS2900-1000Pa-I-N-N-N-GKS2900_2S4　大日本SCR株式会社 SE枚葉_2S4　大日本SCR（株） SE枚葉　SCR SE枚葉_社内_KS系ゼロ点シフト_管理番号：3S9287439Zの件_大平　厚志_20250317</t>
  </si>
  <si>
    <t>2S4　大日本SCR（株） SE枚葉　SCR SE枚葉</t>
  </si>
  <si>
    <t>W134734/W135501,</t>
  </si>
  <si>
    <t>管理番号：3S9287439Zの件</t>
  </si>
  <si>
    <t>W135501：-10Paシフト_x000D_
W134734：-9Paシフト</t>
  </si>
  <si>
    <t>SCREEN様側で返却時の表示を確認_x000D_
W135501：7Pa_x000D_
W134734：27Pa</t>
  </si>
  <si>
    <t>_E250317:atsushi-ohira@krone.co.jp&gt;</t>
  </si>
  <si>
    <t xml:space="preserve"> 1|KS29F-INNNG,KS2900-1000Pa-I-N-N-N-G,W134734/W135501,1,,,,,|</t>
  </si>
  <si>
    <t>KDM30-1MPaG-B-BL-TKDM30BT_多摩川エアロシステムズ株式会社_多摩川エアロシステムズ（株）_センサ異常_上田_20250317</t>
  </si>
  <si>
    <t>多摩川エアロ</t>
  </si>
  <si>
    <t>多摩川エアロシステムズ株式会社</t>
  </si>
  <si>
    <t>多摩川エアロシステムズ（株）</t>
  </si>
  <si>
    <t>2025/03/25 11:49:19</t>
  </si>
  <si>
    <t>K3G-0001B-BT,</t>
  </si>
  <si>
    <t>KDM30-1MPaG-B-BL-T,</t>
  </si>
  <si>
    <t>101202 028,</t>
  </si>
  <si>
    <t>センサ異常</t>
  </si>
  <si>
    <t>センサの出力が異常値となっている。</t>
  </si>
  <si>
    <t>圧力センサー内部に異物がありました。_x000D_
それ以外は特に外観上に不具合はありませんでした。_x000D_
_x000D_
圧力センサーのブリッジ抵抗を測定した所出力側の抵抗値が規格より大きく下回っていました。_x000D_
_x000D_
　　　　　抵抗値　　良品範囲　　判定_x000D_
Input 　　4.51kΩ　　4 - 6kΩ　　OK_x000D_
Output　0.476kΩ　 2 - 5kΩ　　NG</t>
  </si>
  <si>
    <t>圧力センサーが破損しておりその結果異常値が表示されていました。_x000D_
_x000D_
圧力センサーの交換・再校正により修理が可能です。</t>
  </si>
  <si>
    <t>\\192.168.1.201\品質管理\顧客要求管理ツール\添付\484_KDM30-1MPaG-B-BL-TKDM30BT_多摩川エアロシステムズ株式会社_多摩川エアロシステムズ（株）_センサ異常_上田_20250317.xlsx|</t>
  </si>
  <si>
    <t>_E250317:t-ueda@krone.co.jp&gt;_D250325:masaru-yoshida@krone.co.jp&gt;</t>
  </si>
  <si>
    <t xml:space="preserve"> 1|K3G-0001B-BT,KDM30-1MPaG-B-BL-T,101202 028,1,,,2025/3/25,ユーザー責,|</t>
  </si>
  <si>
    <t>KDM30-35MPaG-A-YL-VKDM30標準_NACOL株式会社_NACOL㈱ 部品倉庫_KDM30不具合解析＆修理可否_瀬川_20250318</t>
  </si>
  <si>
    <t>10439</t>
  </si>
  <si>
    <t>NACOL</t>
  </si>
  <si>
    <t>NACOL株式会社</t>
  </si>
  <si>
    <t>NACOL㈱ 部品倉庫</t>
  </si>
  <si>
    <t>2025/04/02 10:25:06</t>
  </si>
  <si>
    <t>KDM30-35MPaG-A-YL-V</t>
  </si>
  <si>
    <t>K3G-0035A-YV,</t>
  </si>
  <si>
    <t>KDM30-35MPaG-A-YL-V,</t>
  </si>
  <si>
    <t>104241 003,</t>
  </si>
  <si>
    <t>KDM30不具合解析＆修理可否</t>
  </si>
  <si>
    <t xml:space="preserve">電源入らず。（内部ケーブルねじれ無し※油まみれ注意）_x000D_
</t>
  </si>
  <si>
    <t>不具合原因＆修理可否解析お願いします。（修理可の場合は交換部品を記載ください）</t>
  </si>
  <si>
    <t>内部にオイルが入りコネクタ部分に入り込みオイル内の異物の影響でショートが発生し_x000D_
電源部分に焼損が生じていました。_x000D_
またセンサーもダイヤフラムにひずみがあり正常動作しない可能性が高いです。_x000D_
_x000D_
その他内部を確認した所ほぼすべての部分にオイルが入り込み部品の全交換か修理不可となります。</t>
  </si>
  <si>
    <t>バッテリー基板の電源端子部分がショート等により焼損していました。_x000D_
それが原因により電源が入らなくない状態になりました。_x000D_
他内部にオイルが入り全ての部分に付着しており不具合部分が全ての部分にわたり_x000D_
部品の全交換又は修理不可となります。</t>
  </si>
  <si>
    <t>\\192.168.1.201\品質管理\顧客要求管理ツール\添付\486_KDM30-35MPaG-A-YL-VKDM30標準_NACOL株式会社_NACOL㈱ 部品倉庫_KDM30不具合解析＆修理可否_瀬川_20250318.xlsx|Z:\【技術部管理文書】\53_故障解析報告書\完了報告書\486_KDM30-35MPaG-A-YL-VKDM30標準_NACOL株式会社_NACOL㈱ 部品倉庫_KDM30不具合解析＆修理可否_瀬川_20250318.xlsx|</t>
  </si>
  <si>
    <t>_E250318:segawa@krone.co.jp&gt;_D250402:masaru-yoshida@krone.co.jp&gt;</t>
  </si>
  <si>
    <t xml:space="preserve"> 1|K3G-0035A-YV,KDM30-35MPaG-A-YL-V,104241 003,1,J220500705-00,技術,2025/4/2,ユーザー責,残留品有り|</t>
  </si>
  <si>
    <t>KDM30α-1MPaG-B-RE-WKDM30MW920 _株式会社大林組__不具合_上田_20250321</t>
  </si>
  <si>
    <t>大林組</t>
  </si>
  <si>
    <t>株式会社大林組</t>
  </si>
  <si>
    <t>K3aG</t>
  </si>
  <si>
    <t>K3aG-0001B-RW,K3aG-0001B-RW,K3aG-0001B-RW,</t>
  </si>
  <si>
    <t>KDM30α-1MPaG-B-RE-W,KDM30α-1MPaG-B-RE-W,KDM30α-1MPaG-B-RE-W,</t>
  </si>
  <si>
    <t>232431015,232431018,232431020,</t>
  </si>
  <si>
    <t>液晶欠け、kPaの表示しかつかないなどの現象。</t>
  </si>
  <si>
    <t>メイン基板交換で修復可能か調査お願いします。</t>
  </si>
  <si>
    <t>_E250321:t-ueda@krone.co.jp&gt;</t>
  </si>
  <si>
    <t xml:space="preserve"> 3|K3aG-0001B-RW,KDM30α-1MPaG-B-RE-W,232431015,1,,,,,|K3aG-0001B-RW,KDM30α-1MPaG-B-RE-W,232431018,1,,,,,|K3aG-0001B-RW,KDM30α-1MPaG-B-RE-W,232431020,1,,,,,|</t>
  </si>
  <si>
    <t>KS2900-1000Pa-I-N-N-N-GKS2900_2S4　大日本SCR株式会社 SE枚葉__社内_KS系ゼロ点シフト_管理番号：3S9287438Z-01の件_大平　厚志_20250407</t>
  </si>
  <si>
    <t>W145665,</t>
  </si>
  <si>
    <t>管理番号：3S9287438Z-01の件</t>
  </si>
  <si>
    <t>ゼロ点シフト発生_x000D_
9Paの変動が起き、彦根返却時電源投入で-9Paを表示</t>
  </si>
  <si>
    <t>_E250407:atsushi-ohira@krone.co.jp&gt;</t>
  </si>
  <si>
    <t xml:space="preserve"> 1|KS29F-INNNG,KS2900-1000Pa-I-N-N-N-G,W145665,1,,,,,|</t>
  </si>
  <si>
    <t>K3G-0001B-Y,</t>
  </si>
  <si>
    <t>KDM30-1MPaG-B-YL,</t>
  </si>
  <si>
    <t>KDM30α-10MPaG-B-BL-WKDM30MW920 _トラスコ中山株式会社_株式会社エビス商会_KDM30α受信不具合の件_大平_20250408</t>
  </si>
  <si>
    <t>38832</t>
  </si>
  <si>
    <t>トラスコ中山株式会社</t>
  </si>
  <si>
    <t>株式会社エビス商会</t>
  </si>
  <si>
    <t>K3aG-0010B-BW,</t>
  </si>
  <si>
    <t>KDM30α-10MPaG-B-BL-W,</t>
  </si>
  <si>
    <t>KDM30α受信不具合の件</t>
  </si>
  <si>
    <t>受信器を設定してもKDM30αと接続できない</t>
  </si>
  <si>
    <t>KDM30-1MPaG-B-YLKDM30標準_株式会社サンワ_株式会社サンワ_社内_KDM系過回転_過回転による故障_大平　厚志_20250410</t>
  </si>
  <si>
    <t>サンワ</t>
  </si>
  <si>
    <t>株式会社サンワ</t>
  </si>
  <si>
    <t>K3G-0001B</t>
  </si>
  <si>
    <t>125182 018,</t>
  </si>
  <si>
    <t>過回転による故障</t>
  </si>
  <si>
    <t>ヘッドの過回転によるアース線故障。_x000D_
他に故障個所が無いか確認願います。</t>
  </si>
  <si>
    <t>過回転</t>
  </si>
  <si>
    <t>首振り機構の回し過ぎにより内部ケーブルの断線と回し過ぎのストッパーがボディの突起部分が当たるように_x000D_
していますが、過大な力がかかり破損しストッパーがきかない状態になり限界まで回り圧力センサーの破損と_x000D_
FG線の断線に繋がりました。</t>
  </si>
  <si>
    <t>KS3200-500Pa-I-N-N-C-N_株式会社ジェイ・イー・ティ_（株）ジェイ・イー・ティ_圧力ポート破損の件_大平　厚志_20250410</t>
  </si>
  <si>
    <t>KS32E-INNCN,</t>
  </si>
  <si>
    <t>KS3200-500Pa-I-N-N-C-N,</t>
  </si>
  <si>
    <t>R006656/R006649,</t>
  </si>
  <si>
    <t>圧力ポート破損の件</t>
  </si>
  <si>
    <t>マイナス側のポートが根元から折れてしまった。_x000D_
チューブを指した後に、取れるような形で折れてしまっている。</t>
  </si>
  <si>
    <t xml:space="preserve"> 1|KS32E-INNCN,KS3200-500Pa-I-N-N-C-N,R006656/R006649,2,,,,,|</t>
  </si>
  <si>
    <t>KDM30-500kPaC-B-BL-ZKDM30MW2.4_西野産業株式会社__KDM30修理可否解析依頼_秋葉_20250414</t>
  </si>
  <si>
    <t>西野</t>
  </si>
  <si>
    <t>K3C-0.50B-BZ,</t>
  </si>
  <si>
    <t>KDM30-500kPaC-B-BL-Z,</t>
  </si>
  <si>
    <t>74305 036_74305 067_74305 088,</t>
  </si>
  <si>
    <t>KDM30修理可否解析依頼</t>
  </si>
  <si>
    <t>液晶ずれが発生している。内部にて壊れていると思われる。</t>
  </si>
  <si>
    <t xml:space="preserve">見積を出す必要があるため、修理箇所をお知らせください。_x000D_
</t>
  </si>
  <si>
    <t>株式会社ブリヂストン</t>
  </si>
  <si>
    <t>KDM30-10MPaG-B-BL-ZKDM30MW2.4_有光工業株式会社_有光工業株式会社 技術部_表示異常_大平(←尾崎)_20241030</t>
  </si>
  <si>
    <t>大平(←尾崎)</t>
  </si>
  <si>
    <t>出荷時、2件出荷物が合ったにも関わらず、品物をピッキングする際に1見分のみ準備して、もう1件は出荷のテーブルに準備するのを忘れた。また、出荷担当者も2件の出荷の1件分のみしか準備せずに出荷してしまった。_x000D_
双方の確認ミスで書類・伝票の確認ミスと判断する。</t>
  </si>
  <si>
    <t>ピッキングミスと書類のﾁｪｯｸミスによる出荷ミスと判断する</t>
  </si>
  <si>
    <t>出荷の書類が2枚になっている場合、1枚目のみ確認する事も防止で、ﾁｪｯｸ表を1枚作成する事で、出荷の全容を確認し、出荷漏れを防ぐ。また、個々の伝票のﾁｪｯｸ欄にも必ずﾁｪｯｸを終え、確認してから、最終担当サインをする事で出荷漏れを防ぐ事を大作とする。最終確認の構築を徹底する。</t>
  </si>
  <si>
    <t>出荷指示書個別とは別に、出荷一覧表を枚か作成する。その際、追加物に関しては手書きで対応し、スキャンデータで記録を残す。</t>
  </si>
  <si>
    <t>\\192.168.1.201\品質管理\顧客要求管理ツール\添付\503_KDM30α-5MPaG-B-RE-T_株式会社ヤマグチ_（株）ヤマグチ_製品出荷忘れ_秋葉_20241219.xlsx|C:\Users\TOKUNAGA\Desktop\出荷指示書一覧及び個別出荷指示書.pdf.xlsx|</t>
  </si>
  <si>
    <t>社内_開発中</t>
  </si>
  <si>
    <t>TEST</t>
  </si>
  <si>
    <t xml:space="preserve">〇圧力基準機による校正を行い、出荷検査との比較を行ったところ、各機能に問題ありません。 (要因分析1）_x000D_
_x000D_
下記の3通りの検証を実施し、対象の4台に異常が確認されました。（要因分析５を参照）_x000D_
　　・1週間の通電エイジング検査　 (要因分析２）_x000D_
　　・センサ出力電圧検査　　　　　　（要因分析３）_x000D_
　　・20時間の継続的な圧力モニタ （要因分析４）_x000D_
_x000D_
異常が確認された機器は2022年11月頃に検査を実施していたものです。_x000D_
この時期に生産した機器は要因分析１で実施した通電エイジングのみで出荷可否判定を実施していた為、今回のセンサの異常が発見できなかったものと考えられます。_x000D_
_x000D_
センサー出力電圧検査は2023年5月～、継続的な圧力モニタは2023年10月～実施しています。_x000D_
従いまして、現在は今回の不具合は検査で出荷を押さえる事ができます。_x000D_
_x000D_
_x000D_
_x000D_
_x000D_
</t>
  </si>
  <si>
    <t xml:space="preserve">〇圧力基準機による校正を行い、出荷検査との比較を行ったところ、各機能に問題ありません。 (要因分析1）_x000D_
_x000D_
下記の3通りの検証を実施し、対象の4台に異常が確認されました。（要因分析５を参照）_x000D_
　　・1週間の通電エイジング検査　 (要因分析２）_x000D_
　　・センサ出力電圧検査　　　　　　（要因分析３）_x000D_
　　・20時間の継続的な圧力モニタ （要因分析４）_x000D_
_x000D_
異常が確認された機器は2023年2月頃に検査を実施していたものです。_x000D_
この時期に生産した機器は要因分析１で実施した通電エイジングのみで出荷可否判定を実施していた為、今回のセンサの異常が発見できなかったものと考えられます。_x000D_
_x000D_
センサー出力電圧検査は2023年5月～、継続的な圧力モニタは2023年10月～実施しています。_x000D_
従いまして、現在は今回の不具合は検査で出荷を押さえる事ができます。_x000D_
</t>
  </si>
  <si>
    <t>2025/04/22 17:30:24</t>
  </si>
  <si>
    <t>首振り機構の回し過ぎにより内部でケーブルが巻き込み過ぎて圧力センサー破損、FG線破損、ボディ破損_x000D_
になっていました。_x000D_
_x000D_
又、圧力センサー内部に異物が入っていました。_x000D_
_x000D_
圧力センサー、ボディ、FG線を交換・組立後再校正にて修理が可能です。</t>
  </si>
  <si>
    <t>\\192.168.1.201\品質管理\顧客要求管理ツール\添付\498_KDM30-1MPaG-B-YLKDM30標準_株式会社サンワ_株式会社サンワ_社内_KDM系過回転_過回転による故障_大平　厚志_20250410.xlsx|Z:\【技術部管理文書】\53_故障解析報告書\完了報告書\498_KDM30-1MPaG-B-YLKDM30標準_株式会社サンワ_株式会社サンワ_社内_KDM系過回転_過回転による故障_大平　厚志_20250410.xlsx|</t>
  </si>
  <si>
    <t>_E250411:atsushi-ohira@krone.co.jp&gt;_D250422:masaru-yoshida@krone.co.jp&gt;</t>
  </si>
  <si>
    <t xml:space="preserve"> 1|K3G-0001B-Y,KDM30-1MPaG-B-YL,125182 018,1,,,2025/04/22,ユーザー責,残留品有り|</t>
  </si>
  <si>
    <t>首振り機構には回転限界のストッパーがありますが、強い力でストッパーの限界以上回すとストッパーが_x000D_
破損しケーブルが巻き付き限界まで回ってしまいます。_x000D_
_x000D_
３台ともケーブルの回し過ぎにより破損していました。</t>
  </si>
  <si>
    <t>KS2900-1000Pa-I-N-N-N-GKS2900_2S4　大日本SCR株式会社 SE枚葉__社内_KS系ゼロ点シフト_管理番号：3S9284818Z-01～03の件_大平　厚志_20250418</t>
  </si>
  <si>
    <t>KS29</t>
  </si>
  <si>
    <t>W168932/W168934/W168935,</t>
  </si>
  <si>
    <t>管理番号：3S9284818Z-01～03の件</t>
  </si>
  <si>
    <t>各KS2900にてゼロ点シフト発生_x000D_
W168935：-6～-7Pa_x000D_
W168934：-6Pa_x000D_
W168932：-5Pa</t>
  </si>
  <si>
    <t>_E250421:atsushi-ohira@krone.co.jp&gt;</t>
  </si>
  <si>
    <t xml:space="preserve"> 1|KS29F-INNNG,KS2900-1000Pa-I-N-N-N-G,W168932/W168934/W168935,3,,,,,|</t>
  </si>
  <si>
    <t>γ修理点検･報告書無解析</t>
    <rPh sb="1" eb="3">
      <t>シュウリ</t>
    </rPh>
    <rPh sb="3" eb="5">
      <t>テンケン</t>
    </rPh>
    <rPh sb="6" eb="9">
      <t>ホウコクショ</t>
    </rPh>
    <rPh sb="9" eb="10">
      <t>ナシ</t>
    </rPh>
    <rPh sb="10" eb="12">
      <t>カイセキ</t>
    </rPh>
    <phoneticPr fontId="5"/>
  </si>
  <si>
    <t>テスト</t>
  </si>
  <si>
    <t>tesuto</t>
  </si>
  <si>
    <t>γ修理点検･報告書無解析</t>
  </si>
  <si>
    <t>完了(残留品は要返却)</t>
  </si>
  <si>
    <t>KS99999-99z</t>
  </si>
  <si>
    <t>2025/04/25 15:44:02</t>
  </si>
  <si>
    <t xml:space="preserve">電池投入時に無線モジュールへの電源が正常に立ち上がらず起動不良を起こしたと思われます。_x000D_
一度電池を抜き、一分ほど放電した後に再度電池を投入することで正常に動作いたします。_x000D_
</t>
  </si>
  <si>
    <t>KDM30α内部の無線モジュールが起動不良を起こしておりました。_x000D_
電池を抜き差しすることで正常に動作することを確認しました。_x000D_
KDM30の立ち上がりと無線モジュールの立ち上がりのタイミングでまれに発生する現象です。一度起動すれば問題なく動作しますので、このままご使用いただいても問題ありません。</t>
  </si>
  <si>
    <t>恒久対策として無線モジュールの電源の立ち上がりが一定になるよう基板の修正を予定しております。</t>
  </si>
  <si>
    <t>\\192.168.1.201\品質管理\顧客要求管理ツール\添付\496_KDM30α-10MPaG-B-BL-WKDM30MW920 _トラスコ中山株式会社_株式会社エビス商会_KDM30α受信不具合の件_大平_20250408.xlsx|Z:\【技術部管理文書】\53_故障解析報告書\完了報告書\496_KDM30α-10MPaG-B-BL-WKDM30MW920 _トラスコ中山株式会社_株式会社エビス商会_KDM30α受信不具合の件_大平_20250408.xlsx|</t>
  </si>
  <si>
    <t>_E250409:atsushi-ohira@krone.co.jp&gt;_D250425:masaru-yoshida@krone.co.jp&gt;_D250425:masaru-yoshida@krone.co.jp&gt;</t>
  </si>
  <si>
    <t xml:space="preserve"> 1|K3aG-0010B-BW,KDM30α-10MPaG-B-BL-W,,3,J250100283-00,,1111/11/11,自責,残留品有り|</t>
  </si>
  <si>
    <t>2025/04/30 10:46:24</t>
  </si>
  <si>
    <t xml:space="preserve">不具合品は正常品と比べ樹脂の密度が少なく鬆が入ったように見えます。_x000D_
また、不具合品のは断面は均一に破断していることに対し正常品のポートを無理に折ろうとすると樹脂に弾性が生じ、は断面が不定形となっています。_x000D_
クローネ技術部の見解としては何らかの要因で樹脂の充填不足が発生しポートの強度不足が発生したものと考えられます。_x000D_
以上によりセンサーの製造上の不具合の可能性が高いと判断し、メーカー解析を依頼しています_x000D_
_x000D_
本現象が発生するとセンサーのマイナスポートから気体のリークも発生します_x000D_
したがって検査工程でリークを確認することで流出を防止することが可能です。_x000D_
_x000D_
_x000D_
_x000D_
_x000D_
_x000D_
_x000D_
_x000D_
_x000D_
_x000D_
</t>
  </si>
  <si>
    <t xml:space="preserve">センサのマイナス側ポートの破損を確認しました。_x000D_
_x000D_
破断面の形状や発生状況から成型不良の可能性が高いと考えられますが根本的な原因はメーカー解析中です_x000D_
これまではプラスポートのみで実圧検査を実施していましたが、マイナスポート、プラスポート双方で実圧を付加しリークを確認することでポート異常が発見できるので暫定対策として検査で流出防止を実施します。_x000D_
_x000D_
すでに御社に納品させていただきました製品のうち未検査品に関しては無償にて検査いたします_x000D_
</t>
  </si>
  <si>
    <t>暫定的な流出防止策として、これまでセンサーの調整/校正工程でプラスポートのみ加圧していたことに対しプラスポート、マイナスポート両方に加圧することでポートの不具合が確認可能です</t>
  </si>
  <si>
    <t>\\192.168.1.201\品質管理\顧客要求管理ツール\添付\499_KS3200-500Pa-I-N-N-C-N_株式会社ジェイ・イー・ティ_（株）ジェイ・イー・ティ_圧力ポート破損の件_大平　厚志_20250410.xlsx|Z:\【技術部管理文書】\53_故障解析報告書\完了報告書\499_【暫定】KS3200-500Pa-I-N-N-C-N_株式会社ジェイ・イー・ティ_（株）ジェイ・イー・ティ_圧力ポート破損の件_大平　厚志_20250410.xlsx|</t>
  </si>
  <si>
    <t>_E250411:atsushi-ohira@krone.co.jp&gt;_D250430:masaru-yoshida@krone.co.jp&gt;</t>
  </si>
  <si>
    <t>2025/04/25 15:48:51</t>
  </si>
  <si>
    <t>85 74305 036, 85 74305 067, 85 74305 088_x000D_
　首振りの回し過ぎでケーブルの巻き込みによりフロントパネルからメイン基板が外れ液晶の位置がずれています。_x000D_
_x000D_
圧力センサーのケーブルも強い力で巻き付いていたため今後断線する可能性があるので交換が必要です。_x000D_
_x000D_
圧力センサー、メインケーブル、FG線、フロントカバー、ボディ及び再校正にて修理が可能です。</t>
  </si>
  <si>
    <t>\\192.168.1.201\品質管理\顧客要求管理ツール\添付\501_KDM30-500kPaC-B-BL-ZKDM30MW2.4_西野産業株式会社__KDM30修理可否解析依頼_秋葉_20250414.xlsx|Z:\【技術部管理文書】\53_故障解析報告書\解析中\501_KDM30-500kPaC-B-BL-ZKDM30MW2.4_西野産業株式会社__KDM30修理可否解析依頼_秋葉_20250414.xlsx|</t>
  </si>
  <si>
    <t>_E250414:r-akiha@krone.co.jp&gt;_D250425:masaru-yoshida@krone.co.jp&gt;</t>
  </si>
  <si>
    <t xml:space="preserve"> 1|K3C-0.50B-BZ,KDM30-500kPaC-B-BL-Z,74305 036_74305 067_74305 088,3,,,2025/4/25,ユーザー責,残留品有り|</t>
  </si>
  <si>
    <t>KDM30α-5MPaG-B-RE-T_株式会社ヤマグチ_（株）ヤマグチ_社内_KDM系テスト_製品出荷忘れ_秋葉_20241219</t>
  </si>
  <si>
    <t>〇圧力基準機による校正を行い、出荷検査との比較を行ったところ、各機能に問題ありません。 (要因分析1）_x000D_
下記の3通りの検証を実施し、対象の3台に異常が確認されました。（要因分析５を参照）_x000D_
　　・1週間の通電エイジング検査　 (要因分析２）_x000D_
　　・センサ出力電圧検査　　　　　　（要因分析３）_x000D_
　　・20時間の継続的な圧力モニタ （要因分析４）_x000D_
_x000D_
異常が確認された機器は2024年6月頃に検査を実施していたものです。_x000D_
この時期に生産した機器は要因分析１で実施した通電エイジングのみで出荷可否判定を実施していた為、今回のセンサの異常が発見できなかったものと考えられます。_x000D_
_x000D_
センサー出力電圧検査は2023年5月～、継続的な圧力モニタは2023年10月～実施しています。_x000D_
従いまして、現在は今回の不具合は検査で出荷を押さえる事ができます。</t>
  </si>
  <si>
    <t>\\192.168.1.201\品質管理\顧客要求管理ツール\添付\504_KS2900-1000Pa-I-N-N-N-GKS2900_2S4　大日本SCR株式会社 SE枚葉__社内_KS系ゼロ点シフト_管理番号：3S9284818Z-01～03の件_大平　厚志_20250418.xlsx|Z:\【技術部管理文書】\53_故障解析報告書\完了報告書\504_KS2900-1000Pa-I-N-N-N-GKS2900_2S4　大日本SCR株式会社 SE枚葉__社内_KS系ゼロ点シフト_管理番号：3S9284818Z-01～03の件_大平　厚志_20250418.xlsx|</t>
  </si>
  <si>
    <t>38887</t>
  </si>
  <si>
    <t>株式会社アイサー商事</t>
  </si>
  <si>
    <t>(株)プリス　東京事業所</t>
  </si>
  <si>
    <t>KS32V-INNCG,</t>
  </si>
  <si>
    <t>KS3200-±2500Pa-I-N-N-C-G,</t>
  </si>
  <si>
    <t>R003600,</t>
  </si>
  <si>
    <t>修理･調整不可能</t>
  </si>
  <si>
    <t>KDM30α-500kPaC-B-BL-TKDM30BT_株式会社ｴﾝﾊﾞｲﾛ･ﾃｯｸ･ｲﾝﾀｰﾅｼｮﾅﾙ_㈱ｴﾝﾊﾞｲﾛ･ﾃｯｸ･ｲﾝﾀｰﾅｼｮﾅﾙ 三郷ｾﾝﾀｰ_KDM30α水没破損_上田_20250428</t>
  </si>
  <si>
    <t>31112</t>
  </si>
  <si>
    <t>株式会社ｴﾝﾊﾞｲﾛ･ﾃｯｸ･ｲﾝﾀｰﾅｼｮﾅﾙ</t>
  </si>
  <si>
    <t>㈱ｴﾝﾊﾞｲﾛ･ﾃｯｸ･ｲﾝﾀｰﾅｼｮﾅﾙ 三郷ｾﾝﾀｰ</t>
  </si>
  <si>
    <t>2025/05/13 17:35:07</t>
  </si>
  <si>
    <t>KDM30α-500kPaC-B</t>
  </si>
  <si>
    <t>K3aC-0.50B-BT,K3aC-0.50B-BT,</t>
  </si>
  <si>
    <t>KDM30α-500kPaC-B-BL-T,KDM30α-500kPaC-B-BL-T,</t>
  </si>
  <si>
    <t>107446 068,107446 065,</t>
  </si>
  <si>
    <t>KDM30α水没破損</t>
  </si>
  <si>
    <t>KR-10028は表示はされる様になったものの、ボタン押した時の反応が悪く0設定については無反応。電池の減りも早い状態。_x000D_
KR-10027は電池を交換しても無反応。</t>
  </si>
  <si>
    <t xml:space="preserve">107446 068 電源回路の部品が腐食・破損していました。メンブレンスイッチも破損していました。_x000D_
　メンブレンスイッチが損傷する場合は、水分がメンブレンスイッチ内部に入り込み破損する事が多いため_x000D_
　水分が内部に浸透した物と思われます。_x000D_
_x000D_
107446 065 電源回路の部品が腐食し破損していました。_x000D_
　水分か何らかの液体が」内部に入り腐食を発生させたものと思われます。_x000D_
</t>
  </si>
  <si>
    <t>107446 068 メンブレンスイッチの破損とメイン基板の一部腐食がありました。_x000D_
　メイン基板とフロントカバー（メンブレンスイッチ付き）の交換で修理は可能です。_x000D_
107446-065 メイン基板の腐食がありました。107446 068と同条件で不具合が発生した場合は_x000D_
　メンブレンスイッチ等も破損している可能性があります。_x000D_
_x000D_
2台共水が中に入り込んだ場合一部部品交換を行ってとりあえず動くようになりますが後程故障が_x000D_
発生する可能性が非常に高いと思われます。したがって修理不能とさせていただきます。</t>
  </si>
  <si>
    <t>\\192.168.1.201\品質管理\顧客要求管理ツール\添付\506_KDM30α-500kPaC-B-BL-TKDM30BT_株式会社ｴﾝﾊﾞｲﾛ･ﾃｯｸ･ｲﾝﾀｰﾅｼｮﾅﾙ_㈱ｴﾝﾊﾞｲﾛ･ﾃｯｸ･ｲﾝﾀｰﾅｼｮﾅﾙ 三郷ｾﾝﾀｰ_KDM30α水没破損_上田_20250428.xlsx|Z:\【技術部管理文書】\53_故障解析報告書\完了報告書\506_KDM30α-500kPaC-B-BL-TKDM30BT_株式会社ｴﾝﾊﾞｲﾛ･ﾃｯｸ･ｲﾝﾀｰﾅｼｮﾅﾙ_㈱ｴﾝﾊﾞｲﾛ･ﾃｯｸ･ｲﾝﾀｰﾅｼｮﾅﾙ 三郷ｾﾝﾀｰ_KDM30α水没破損_上田_20250428.xlsx|</t>
  </si>
  <si>
    <t>_E250428:t-ueda@krone.co.jp&gt;_D250513:masaru-yoshida@krone.co.jp&gt;</t>
  </si>
  <si>
    <t xml:space="preserve"> 2|K3aC-0.50B-BT,KDM30α-500kPaC-B-BL-T,107446 068,1,,,,,|K3aC-0.50B-BT,KDM30α-500kPaC-B-BL-T,107446 065,1,,,,,|</t>
  </si>
  <si>
    <t>KDM30-500kPaG-B-YL-ZKDM30MW2.4_株式会社ブリヂストン_(株)ブリヂストン　技術ｾﾝﾀｰ(小平) 荷さばき室_KDM30-MW不具合品修理解析依頼_瀬川_20250428</t>
  </si>
  <si>
    <t>(株)ブリヂストン　技術ｾﾝﾀｰ(小平) 荷さばき室</t>
  </si>
  <si>
    <t>2025/05/13 17:15:10</t>
  </si>
  <si>
    <t>KDM30-500kPaG-B-YL-Z</t>
  </si>
  <si>
    <t>K3G-0.50B-YZ,</t>
  </si>
  <si>
    <t>KDM30-500kPaG-B-YL-Z,</t>
  </si>
  <si>
    <t>114712 089_x000D_
114712 089,</t>
  </si>
  <si>
    <t>KDM30-MW不具合品修理解析依頼</t>
  </si>
  <si>
    <t>圧力表示値にずれが発生（2025年3月末迄は正常だったとの事。DPE750で加圧した結果、下記の数値を確認する。_x000D_
200kPa : 110.9kPa / 300kPa : 166.3kPa / 400kPa : 221.9kPa</t>
  </si>
  <si>
    <t>圧力表示値のずれの原因と修理が必要な場合費用を教えてください。</t>
  </si>
  <si>
    <t>圧力センサーのケーブルが一部断線し圧力値が異常な値を表示していました。</t>
  </si>
  <si>
    <t>圧力センサーからのケーブルが一部断線していました。_x000D_
首振り機構の回し過ぎによりボディが破損していました。_x000D_
_x000D_
圧力センサー、ボディの交換と再校正により修理が可能です。_x000D_
_x000D_
圧力センサーのケーブル断線は、弊社組立時のミスにより正しく組み立てておらず発生した為_x000D_
圧力センサー交換と校正は無償とさせていただきます。</t>
  </si>
  <si>
    <t>\\192.168.1.201\品質管理\顧客要求管理ツール\添付\507_KDM30-500kPaG-B-YL-ZKDM30MW2.4_株式会社ブリヂストン_(株)ブリヂストン　技術ｾﾝﾀｰ(小平) 荷さばき室_KDM30-MW不具合品修理解析依頼_瀬川_20250428.xlsx|Z:\【技術部管理文書】\53_故障解析報告書\完了報告書\507_KDM30-500kPaG-B-YL-ZKDM30MW2.4_株式会社ブリヂストン_(株)ブリヂストン　技術ｾﾝﾀｰ(小平) 荷さばき室_KDM30-MW不具合品修理解析依頼_瀬川_20250428.xlsx|</t>
  </si>
  <si>
    <t>_E250428:segawa@krone.co.jp&gt;_D250513:masaru-yoshida@krone.co.jp&gt;</t>
  </si>
  <si>
    <t xml:space="preserve"> 1|K3G-0.50B-YZ,KDM30-500kPaG-B-YL-Z,114712 089_x000D_
114712 089,1,J211001049-00,,,,|</t>
  </si>
  <si>
    <t>KDM30-500kPaC-B-BL_タカヤマケミカル株式会社__KDM30解析依頼_秋葉_20250508</t>
  </si>
  <si>
    <t>タカヤマ</t>
  </si>
  <si>
    <t>タカヤマケミカル株式会社</t>
  </si>
  <si>
    <t>2025/05/27 10:48:52</t>
  </si>
  <si>
    <t>K3C-0.50B</t>
  </si>
  <si>
    <t>K3C-0.50B-B,</t>
  </si>
  <si>
    <t>KDM30-500kPaC-B-BL,</t>
  </si>
  <si>
    <t>104897 024,</t>
  </si>
  <si>
    <t>KDM30解析依頼</t>
  </si>
  <si>
    <t>電源ボタンを押しても電源が付きません。_x000D_
修理可否を解析願います。</t>
  </si>
  <si>
    <t>メンブレンスイッチ円周部分と回転部分の内部に液体が入り込んだ痕跡がありました。_x000D_
_x000D_
その液体がメンブレンスイッチ内部に浸透しSWが破損したものと推測します。</t>
  </si>
  <si>
    <t>メンブレンスイッチ部に液体が混入しメンブレンスイッチ内部が損傷しSWが正常に動作していませんでした。_x000D_
液体等の異物が混入しないようご使用ください_x000D_
_x000D_
フロントパネル（メンブレンスイッチ付き）の交換で修理が可能です。</t>
  </si>
  <si>
    <t>\\192.168.1.201\品質管理\顧客要求管理ツール\添付\508_KDM30-500kPaC-B-BL_タカヤマケミカル株式会社__KDM30解析依頼_秋葉_20250508.xlsx|Z:\【技術部管理文書】\53_故障解析報告書\完了報告書\508_KDM30-500kPaC-B-BL_タカヤマケミカル株式会社__KDM30解析依頼_秋葉_20250508.xlsx|</t>
  </si>
  <si>
    <t>_E250509:r-akiha@krone.co.jp&gt;_D250527:masaru-yoshida@krone.co.jp&gt;_D250527:masaru-yoshida@krone.co.jp&gt;</t>
  </si>
  <si>
    <t xml:space="preserve"> 1|K3C-0.50B-B,KDM30-500kPaC-B-BL,104897 024,1,,,2025/5/27,ユーザー責,残留品有り|</t>
  </si>
  <si>
    <t>ジャムコ</t>
  </si>
  <si>
    <t>株式会社ジャムコ</t>
  </si>
  <si>
    <t xml:space="preserve">KDM30再校正依頼品が届きましたが電池を使用しても電源が入りません（外部電源は電源入る）_x000D_
</t>
  </si>
  <si>
    <t>2024年の再校正では問題有りませんでした。メンブレンスイッチなどに異常がないか確認お願いします</t>
  </si>
  <si>
    <t>KDM30-100kPaG-B-BLKDM30標準_株式会社ジャムコ__KDM30再校正依頼品の電源について　修理_瀬川_20250512</t>
  </si>
  <si>
    <t>KDM30-100kPaG-B-BL</t>
  </si>
  <si>
    <t>K3G-0.10B-B,</t>
  </si>
  <si>
    <t>KDM30-100kPaG-B-BL,</t>
  </si>
  <si>
    <t>51915 032,</t>
  </si>
  <si>
    <t>KDM30再校正依頼品の電源について　修</t>
  </si>
  <si>
    <t>_E250513:segawa@krone.co.jp&gt;_E250625:segawa@krone.co.jp&gt;</t>
  </si>
  <si>
    <t>511</t>
  </si>
  <si>
    <t xml:space="preserve"> 1|K3G-0.10B-B,KDM30-100kPaG-B-BL,51915 032,1,,,,,|</t>
  </si>
  <si>
    <t>41370</t>
  </si>
  <si>
    <t>営業部営業技術2課</t>
  </si>
  <si>
    <t>兵働</t>
  </si>
  <si>
    <t>ニプロファーマ株式会社</t>
  </si>
  <si>
    <t>ニプロファーマ株式会社　埼玉第１工場</t>
  </si>
  <si>
    <t>SKT-RCAL-KR</t>
  </si>
  <si>
    <t>SKT-RCAL-KR,</t>
  </si>
  <si>
    <t>SIKA温度校正器再校正(ｸﾛｰﾈ校正),</t>
  </si>
  <si>
    <t>校正　不具合判定時の報告について</t>
  </si>
  <si>
    <t>今回温度校正器の校正を行った際、合否判定基準を逸脱した成績書が営業への事前連絡無く出荷されてしまい、顧客よりクレームとなりました。校正や検査を行った際に不具合や精度逸脱があった際には営業へ一報入れるように業務フローの改善をお願いします。</t>
  </si>
  <si>
    <t>takashi-hyodo@krone.co.jp</t>
  </si>
  <si>
    <t>_E250514:takashi-hyodo@krone.co.jp&gt;_E250514:takashi-hyodo@krone.co.jp&gt;</t>
  </si>
  <si>
    <t xml:space="preserve"> 1|SKT-RCAL-KR,SIKA温度校正器再校正(ｸﾛｰﾈ校正),,1,J250500013,,,,|</t>
  </si>
  <si>
    <t>KS2900-1000Pa-I-N-N-N-GKS2900_2S4　大日本SCR株式会社 SE枚葉_【近鉄-湖南】㈱近鉄ﾛｼﾞｽﾃｨｸｽ･ｼｽﾃﾑｽﾞ_社内_KS系ゼロ点シフト_3S9289022Z-0102セロ点シフトの件_大平　厚志_20250514</t>
  </si>
  <si>
    <t>【近鉄-湖南】㈱近鉄ﾛｼﾞｽﾃｨｸｽ･ｼｽﾃﾑｽﾞ</t>
  </si>
  <si>
    <t>W136252/W138347,</t>
  </si>
  <si>
    <t>3S9289022Z-01/02セロ点シフトの件</t>
  </si>
  <si>
    <t>FC3100にてゼロ点シフト発生_x000D_
W138347：-5Pa_x000D_
W136252：+5Pa_x000D_
のずれが発生</t>
  </si>
  <si>
    <t xml:space="preserve">〇圧力基準機による校正を行い、出荷検査との比較を行ったところ、各機能に問題ありません。 (要因分析1）_x000D_
_x000D_
下記の3通りの検証を実施し、対象の２台に異常が確認されました。（要因分析５を参照）_x000D_
　　・1週間の通電エイジング検査　 (要因分析２）_x000D_
　　・センサ出力電圧検査　　　　　　（要因分析３）_x000D_
　　・20時間の継続的な圧力モニタ （要因分析４）_x000D_
_x000D_
異常が確認された機器は2022年11月～12月頃に検査を実施していたものです。_x000D_
この時期に生産した機器は要因分析１で実施した通電エイジングのみで出荷可否判定を実施していた為、今回のセンサの異常が発見できなかったものと考えられます。_x000D_
_x000D_
センサー出力電圧検査は2023年5月～、継続的な圧力モニタは2023年10月～実施しています。_x000D_
従いまして、現在は今回の不具合は検査で出荷を押さえる事ができます。_x000D_
</t>
  </si>
  <si>
    <t>_E250516:atsushi-ohira@krone.co.jp&gt;</t>
  </si>
  <si>
    <t xml:space="preserve"> 1|KS29F-INNNG,KS2900-1000Pa-I-N-N-N-G,W136252/W138347,2,,,,,|</t>
  </si>
  <si>
    <t>KDM30α-1MPaC-B-BL-W_株式会社センサスヤマモト__無線通信時、設定したchと異なるchに圧力値が表示される件_秋葉_20250521</t>
  </si>
  <si>
    <t>センサスヤマモト</t>
  </si>
  <si>
    <t>株式会社センサスヤマモト</t>
  </si>
  <si>
    <t>K3aC-0001B-BW</t>
  </si>
  <si>
    <t>K3aC-0001B-BW,</t>
  </si>
  <si>
    <t>KDM30α-1MPaC-B-BL-W,</t>
  </si>
  <si>
    <t>114022 046/063,</t>
  </si>
  <si>
    <t>無線通信時、設定したchと異なるchに圧力値が表示される件</t>
  </si>
  <si>
    <t>対象は、No2の圧力計S/N:114022 046_x000D_
_x000D_
①	モニタリングソフト_KRONE-Monitorでch2に実測圧力値が表示されない_x000D_
②	モニタリングソフト_KRONE-Monitorのch1に、２台の実測圧力値が交互に表示されていることを確認_x000D_
③	圧力計本体の設定は正しくch2になっている_x000D_
④	圧力計本体のch設定を仮に「05」としてみた_x000D_
⑤	モニタリングソフト_KRONE-Monitorでch5に圧力値が表示されたことを確認した_x000D_
⑥	圧力計本体のch設定を「02」に再度変更した_x000D_
⑦	モニタリングソフト_KRONE-Monitorでch2に圧力値が表示されることを確認した_x000D_
_x000D_
尚、購入直後の１月１０日にも同様の事象があったため、お客様がクローネ社様に直接問い合わせしております。_x000D_
そのさいは、お電話口で対応いただきまして、正確な原因はわからなかったものの、_x000D_
いろいろな設定を試行錯誤で変更した結果、機器は正常復帰しました。_x000D_
_x000D_
とのことです。(メール本文)</t>
  </si>
  <si>
    <t>なぜ異なるchに表示されているかの原因が特定できるのか、バグなのか、修理できるのかをご教示ください。</t>
  </si>
  <si>
    <t xml:space="preserve"> 1|K3aC-0001B-BW,KDM30α-1MPaC-B-BL-W,114022 046/063,1,,,,,|</t>
  </si>
  <si>
    <t>KS2900-1000Pa-I-N-N-N-GKS2900_2S4　大日本SCR株式会社 SE枚葉_【近鉄-湖南】㈱近鉄ﾛｼﾞｽﾃｨｸｽ･ｼｽﾃﾑｽﾞ_社内_KS系ゼロ点シフト_管理番号：3S9290798-01～04の件_大平　厚志_20250521</t>
  </si>
  <si>
    <t>2S4</t>
  </si>
  <si>
    <t>2025/06/03 18:25:22</t>
  </si>
  <si>
    <t>W170938/W170939/W073462/W170945,</t>
  </si>
  <si>
    <t>管理番号：3S9290798-01～04の件</t>
  </si>
  <si>
    <t>ゼロ点シフト発生_x000D_
W170939：+8Pa_x000D_
W170945：-8Pa_x000D_
W170938：+6Pa_x000D_
W073462：+5Pa</t>
  </si>
  <si>
    <t>W1709のS/Nは比較出力検査も行っている製品です。_x000D_
ログと現状のゼロ電圧を比較の上合否判定を行って下さい</t>
  </si>
  <si>
    <t xml:space="preserve">W073462のセンサーは2018年製でありシフト対象外_x000D_
その他の総合判定結果は以下の通り_x000D_
S/N_x000D_
W170938_x000D_
W170939_x000D_
W170945_x000D_
考察_x000D_
工場出荷時のセンサー出力のゼロデータ（校正ゼロデータ）と_x000D_
返却時、検査終了時のセンサー出力を比較すると_x000D_
要因分析７の値となり電圧値で5～8ｍV　Pa換算すると3～4Ｐａ_x000D_
であり故障原因追及依頼にあるようなシフトは認められなかった。_x000D_
_x000D_
</t>
  </si>
  <si>
    <t>_E250521:atsushi-ohira@krone.co.jp&gt;_D250603:masaru-yoshida@krone.co.jp&gt;</t>
  </si>
  <si>
    <t xml:space="preserve"> 1|KS29F-INNNG,KS2900-1000Pa-I-N-N-N-G,W170938/W170939/W073462/W170945,4,,,2025/6/3,ユーザー責,代品発送済|</t>
  </si>
  <si>
    <t>604300Pa-UL_愛電株式会社_愛電㈱ 九州物流ｾﾝﾀｰ_スイッチ不具合_上田_22050526</t>
  </si>
  <si>
    <t>愛電</t>
  </si>
  <si>
    <t>愛電株式会社</t>
  </si>
  <si>
    <t>愛電㈱ 九州物流ｾﾝﾀｰ</t>
  </si>
  <si>
    <t>2025/05/27 11:11:24</t>
  </si>
  <si>
    <t>スイッチ不具合</t>
  </si>
  <si>
    <t>掃除機で吸い込んで20Paを示すとスイッチが作動。_x000D_
その後、掃除機を止めるとスイッチがオフになるはずがオフにならない。スイッチを軽くたたくとオフになった。</t>
  </si>
  <si>
    <t>スイッチの動作確認をお願いします。</t>
  </si>
  <si>
    <t>現象を再現しましたので、メーカー解析依頼をお願いします。　5/27に再検査依頼が有りましたので結果報告します。設定20Paは昨日同様に動作はＮＧでした。設定40Paでは正常動作に変化しました。設定30Pa相当でも正常動作、設定20Paの目盛りから若干設定値を変化させた状況でも、正常動作でした。</t>
  </si>
  <si>
    <t>_E250526:t-ueda@krone.co.jp&gt;_D250526:t-yotsukura@krone.co.jp&gt;_D250527:t-yotsukura@krone.co.jp&gt;_D250527:t-yotsukura@krone.co.jp&gt;</t>
  </si>
  <si>
    <t xml:space="preserve"> 1|604-S010020,604/300Pa-UL,,1,,,,,|</t>
  </si>
  <si>
    <t>再発防止の為には、全数動作検査を行う必要性が有りますが、現状、対応予定無し。</t>
  </si>
  <si>
    <t>520 0～1MPa_20mA_G14社外_調整有_アズワン株式会社_公立小松大学　_動作不良_平木　勝_20250526</t>
  </si>
  <si>
    <t>公立小松大学　</t>
  </si>
  <si>
    <t>520</t>
  </si>
  <si>
    <t>520-99006,520-99006,520-99006,520-99006,</t>
  </si>
  <si>
    <t>520 0～1MPa_20mA_G1/4,520 0～1MPa_20mA_G1/4,520 0～1MPa_20mA_G1/4,520 0～1MPa_20mA_G1/4,</t>
  </si>
  <si>
    <t>230822-148-02-0015,230822-148-02-0016,230822-148-02-0018,230822-148-02-0028,</t>
  </si>
  <si>
    <t>出力が出ない_x000D_
大気圧下で、本来の4-20mA出力がでない_x000D_
動作確認・原因究明をお願いいたします。</t>
  </si>
  <si>
    <t>〇直流電源 AS ONE/PS30V5A10(0-30V/0-5A)_x000D_
〇テスター 三和PC7000，レンジ4~20mA_x000D_
〇トランスミッターの brown⇒直流電源の＋に，green⇒電流計＋に，電流計－⇒直流電源の－に結線．_x000D_
と接続して（トランスミッターの先端は大気解放）</t>
  </si>
  <si>
    <t>_E250526:m-hiraki@krone.co.jp&gt;</t>
  </si>
  <si>
    <t xml:space="preserve"> 4|520-99006,520 0～1MPa_20mA_G1/4,230822-148-02-0015,1,,,,,|520-99006,520 0～1MPa_20mA_G1/4,230822-148-02-0016,1,,,,,|520-99006,520 0～1MPa_20mA_G1/4,230822-148-02-0018,1,,,,,|520-99006,520 0～1MPa_20mA_G1/4,230822-148-02-0028,1,,,,,|</t>
  </si>
  <si>
    <t>KDM30-500kPaC-B-BLKDM30標準_轟産業株式会社_轟産業㈱ 厚木営業所_KDM30-500kPaC-B-BL　ボディ、センサ交換、再校正_吉澤_20250528</t>
  </si>
  <si>
    <t>営業部1課</t>
  </si>
  <si>
    <t>轟産業株式会社</t>
  </si>
  <si>
    <t>轟産業㈱ 厚木営業所</t>
  </si>
  <si>
    <t>42955 026,</t>
  </si>
  <si>
    <t>KDM30-500kPaC-B-BL　ボディ、センサ交換、再校正</t>
  </si>
  <si>
    <t>再校正時にボディの破損とセンサ汚損を発見した為、修理が必要（E/U:大和製罐株式会社)</t>
  </si>
  <si>
    <t>_E250528:k-yoshizawa@krone.co.jp&gt;</t>
  </si>
  <si>
    <t xml:space="preserve"> 1|K3C-0.50B-B,KDM30-500kPaC-B-BL,42955 026,1,,,,,|</t>
  </si>
  <si>
    <t>KDM30α-100kPaA-M-YL-XRKDM30標準_芝浦工業大学_芝浦工業大学大学院 ﾏｲｸﾛ応用理工学研究室_KDM30-α-100kPaA-M-YL-XR電源が入らない_吉澤_20250528</t>
  </si>
  <si>
    <t>芝浦工業</t>
  </si>
  <si>
    <t>芝浦工業大学</t>
  </si>
  <si>
    <t>芝浦工業大学大学院 ﾏｲｸﾛ応用理工学研究室</t>
  </si>
  <si>
    <t>2025/06/05 17:34:45</t>
  </si>
  <si>
    <t>KDM30α</t>
  </si>
  <si>
    <t>K3aA-0.10M-YXR,</t>
  </si>
  <si>
    <t>KDM30α-100kPaA-M-YL-XR,</t>
  </si>
  <si>
    <t>121927 032,</t>
  </si>
  <si>
    <t>KDM30-α-100kPaA-M-YL-XR電源が入らない</t>
  </si>
  <si>
    <t>電源が入らない。昨年12月に購入してから使用していないとの事ですが、RS232C仕様なのにケーブルはアナログ、現在ははめ込んでいるが液晶基板が外れておりホットボンドが一部欠けていた。</t>
  </si>
  <si>
    <t>KDM30αのRS232C仕様ケーブルでは無く外部電源仕様のケーブルが付属されていました。_x000D_
_x000D_
RS232C仕様では添付のRS232C仕様のケーブルを使用してください。_x000D_
本不具合は、通常の外部電源ケーブルによる配線を行い通電時に他の端子と接触があり_x000D_
過電流が流れサージアブゾーバが焼損したものと思われます。</t>
  </si>
  <si>
    <t>バッテリー基板の電源回路中のサージアブゾーバが焼損破損していました。_x000D_
バッテリー基板の交換により修理が可能です。</t>
  </si>
  <si>
    <t>対策のみ必要</t>
  </si>
  <si>
    <t>\\192.168.1.201\品質管理\顧客要求管理ツール\添付\521_KDM30α-100kPaA-M-YL-XRKDM30標準_芝浦工業大学_芝浦工業大学大学院 ﾏｲｸﾛ応用理工学研究室_KDM30-α-100kPaA-M-YL-XR電源が入らない_吉澤_20250528.xlsx|Z:\【技術部管理文書】\53_故障解析報告書\完了報告書\521_KDM30α-100kPaA-M-YL-XRKDM30標準_芝浦工業大学_芝浦工業大学大学院 ﾏｲｸﾛ応用理工学研究室_KDM30-α-100kPaA-M-YL-XR電源が入らない_吉澤_20250528.xlsx|</t>
  </si>
  <si>
    <t>_E250528:k-yoshizawa@krone.co.jp&gt;_D250605:masaru-yoshida@krone.co.jp&gt;</t>
  </si>
  <si>
    <t xml:space="preserve"> 1|K3aA-0.10M-YXR,KDM30α-100kPaA-M-YL-XR,121927 032,1,,,2025/6/5,ユーザー責,残留品有り|</t>
  </si>
  <si>
    <t>HEPA フィルター内蔵微差圧モニター_日本エアーテック株式会社_日本ｴｱｰﾃｯｸ（株） 加須工場_社内_その他ABP2センサー異常_LDPM500不具合調査_藤原　崇寛_20250602</t>
  </si>
  <si>
    <t>28678</t>
  </si>
  <si>
    <t>日本エアーテック株式会社</t>
  </si>
  <si>
    <t>日本ｴｱｰﾃｯｸ（株） 加須工場</t>
  </si>
  <si>
    <t>2025/06/12 18:40:05</t>
  </si>
  <si>
    <t>LDPM500</t>
  </si>
  <si>
    <t>LDPM500,</t>
  </si>
  <si>
    <t>HEPA フィルター内蔵微差圧モニター,</t>
  </si>
  <si>
    <t>LDPM500不具合調査</t>
  </si>
  <si>
    <t xml:space="preserve">２５台連続通信テスト中の1台にて、今度は０補正が出来ない（初期値が―５０Pa）値に突然なりました。_x000D_
昨日は表示値が―11Paでしたので、0補正を実施し、表示値を０にしましたが、今日は０補正を実行しても―25Paを表示します。_x000D_
</t>
  </si>
  <si>
    <t>センサーから異常な値が出力されていました_x000D_
ASICに異常が発生しているものと考えられます</t>
  </si>
  <si>
    <t>ABP2センサー異常</t>
  </si>
  <si>
    <t>未到着or調査前</t>
  </si>
  <si>
    <t>1.I2C通信におけるデータ長の不整合_x000D_
・マスター側がセンサーからデータを読み取る際、本来必要なバイト数より1バイト多く読み出していました。_x000D_
2,EOCピンの接続状態_x000D_
・使用しているABP2センサーのEOC（End of Conversion）ピンは、変換完了時にHigh、変換中はLowとなる仕様です。_x000D_
メーカーに問い合わせたところ、外付けのプルアップ／プルダウン抵抗は不要であり、直接マスター側へ接続する用指摘されました。_x000D_
3.データ長とEOCピンの影響_x000D_
I2C通信でデータを1バイト多く読み込んでもデータはマスター側で無視されるので基本的には大きな問題になりません_x000D_
EOCピンでとプッシュプル出力しHiになるとプルダウンがあることで信号GNDに向かい微弱な電流が流れセンサーのドライブが不安定となります_x000D_
実際にはプルダウン抵抗10ｋΩに対しドライブ電圧3.3Ｖなので0.3ｍＡ程度で特に問題は発生しません。_x000D_
ただし、個体差によるドライブ能力のばらつきによる不安定状態でデータを読み込むことでセンサーのASICに電気的な負荷がかかり故障したことが今回の原因と特定しました。</t>
  </si>
  <si>
    <t>本件は、バージョン17におけるソフトウェアの不具合、もしくはセンサー接続時に不要なプルダウン抵抗を実装したことによる複合的な要因でセンサーの異常値（不定値）が発生したと判断いたします。_x000D_
なお、同一センサー制御部（弊社他製品 KS3200 等）でも同様の現象が確認され、解析の結果上記２点が複合的に影響していることが判明しております。　_x000D_
すでに返却いただいた対象製品に対してはプログラム修正およびプルダウン抵抗の除去措置を実施しております（A00251～A00350、A00401～A1200）_x000D_
修正済み品につきましては本現象が再発しないことを確認しております。_x000D_
未修正品（A00201～A00250、A00351～A00400）につきましては全数回収の上、改めて修正対応を実施いたします。_x000D_
_x000D_
'・本現象は、KS3200の生産台数約10,000台中3台で発生しており、修正後の生産品約17,000台では同様の現象が確認されておりません。_x000D_
KS3200に対しクローネでは同様の現象が発生した場合無償にて修理しております。</t>
  </si>
  <si>
    <t>・ソフトウェアに関しては、今回修正済みのプログラムを全数品に適用し、再発防止策を確実に実施いたします。_x000D_
・今後、センサー接続回路の設計段階においては、プルダウン抵抗の必要性を再評価し、誤実装防止のためのレビュー体制についても見直しを図ります。_x000D_
・メーカーのデータシートの記載内容と設計者の認識に相違がある場合、必ずメーカーへ確認し、設計上のミスがないよう対策を講じるものといたします。</t>
  </si>
  <si>
    <t>\\192.168.1.201\品質管理\顧客要求管理ツール\添付\524_HEPA フィルター内蔵微差圧モニター_日本エアーテック株式会社_日本ｴｱｰﾃｯｸ（株） 加須工場_社内_その他ABP2センサー異常_LDPM500不具合調査_藤原　崇寛_20250602.xlsx|Z:\【技術部管理文書】\53_故障解析報告書\完了報告書\524_HEPA フィルター内蔵微差圧モニター_日本エアーテック株式会社_日本ｴｱｰﾃｯｸ（株） 加須工場_社内_その他ABP2センサー異常_LDPM500不具合調査_藤原　崇寛_20250602.xlsx|</t>
  </si>
  <si>
    <t>_E250604:taka-fujiwara@krone.co.jp&gt;_D250612:masaru-yoshida@krone.co.jp&gt;_D250612:masaru-yoshida@krone.co.jp&gt;_D250612:masaru-yoshida@krone.co.jp&gt;</t>
  </si>
  <si>
    <t xml:space="preserve"> 1|LDPM500,HEPA フィルター内蔵微差圧モニター,,2,,,2025/6/12,自責,未到着or調査前|</t>
  </si>
  <si>
    <t>Gen-001-002a01_001_250612_ABP2のEOCピンのプルダウン抵抗除去</t>
  </si>
  <si>
    <t>ﾃﾞｼﾞﾀﾙ圧力計 DFG80-70MPaG-A-YLKDM30標準_エヌピーエーシステム株式会社_エヌピーエーシステム（株）_表示不具合_上田_20250605</t>
  </si>
  <si>
    <t>26458</t>
  </si>
  <si>
    <t>2025/06/30 10:30:57</t>
  </si>
  <si>
    <t>D8G-0070M-Y,</t>
  </si>
  <si>
    <t>ﾃﾞｼﾞﾀﾙ圧力計 DFG80-70MPaG-A-YL,</t>
  </si>
  <si>
    <t>127479 008,</t>
  </si>
  <si>
    <t>表示不具合</t>
  </si>
  <si>
    <t>画面がついたり消えたりする。</t>
  </si>
  <si>
    <t>外観に異常はありません</t>
  </si>
  <si>
    <t>センサの感圧素子であるダイヤフラムに損傷が見られることから、圧力レンジを上回る過大圧やウォーターハンマー的に急激な圧力変動が加わったと考えられます。_x000D_
また、静電気等による破損も考えられますので、静電気の発生しやすい環境では配管部の接地をしてください。処理を行ってください。</t>
  </si>
  <si>
    <t>画面表示の点灯・不点灯現象の再現は確認できませんでした。_x000D_
_x000D_
解析品のセンサ破損を確認しました。_x000D_
・動作確認したところ、圧力表示は「０．００」から変動されませんでした。_x000D_
・センサのブリッジ抵抗を計測したところ、異常値を計測しました。_x000D_
・アナログ出力と比較出力は正常動作を確認しています。_x000D_
_x000D_
〇修理について_x000D_
　・センサ交換_x000D_
　・再校正</t>
  </si>
  <si>
    <t>\\192.168.1.201\品質管理\顧客要求管理ツール\添付\525_ﾃﾞｼﾞﾀﾙ圧力計 DFG80-70MPaG-A-YLKDM30標準_エヌピーエーシステム株式会社_エヌピーエーシステム（株）_表示不具合_上田_20250605.xlsx|Z:\【技術部管理文書】\53_故障解析報告書\完了報告書\525_ﾃﾞｼﾞﾀﾙ圧力計 DFG80-70MPaG-A-YLKDM30標準_エヌピーエーシステム株式会社_エヌピーエーシステム（株）_表示不具合_上田_20250605.xlsx|</t>
  </si>
  <si>
    <t>_E250605:t-ueda@krone.co.jp&gt;_D250630:masaru-yoshida@krone.co.jp&gt;</t>
  </si>
  <si>
    <t xml:space="preserve"> 1|D8G-0070M-Y,ﾃﾞｼﾞﾀﾙ圧力計 DFG80-70MPaG-A-YL,127479 008,1,J231100598-00,,2025/6/30,ユーザー責,残留品有り|</t>
  </si>
  <si>
    <t>KS3200-±2500Pa-I-N-N-C-GKS3200_株式会社アイサー商事_(株)プリス　東京事業所_KS3200-±2500Pa-I-N-N-C-G_吉澤_20250425</t>
  </si>
  <si>
    <t>アイサー</t>
  </si>
  <si>
    <t>KS3200-±2500Pa-I-N-N-C-G</t>
  </si>
  <si>
    <t>液晶が点灯しない初期不良により返却されたが、技術部の判断で初期不良ではないとして報告するのでシリアルナンバーはそのまま修理をお願いします。</t>
  </si>
  <si>
    <t>_E250606:k-yoshizawa@krone.co.jp&gt;</t>
  </si>
  <si>
    <t xml:space="preserve"> 1|KS32V-INNCG,KS3200-±2500Pa-I-N-N-C-G,R003600,1,,,,,|</t>
  </si>
  <si>
    <t>KS2900-1000Pa-I-N-N-N-GKS2900_2S4　大日本SCR株式会社 SE枚葉_彦根ロジスティクス（株）_社内_KS系ゼロ点シフト_故障品管理番号3S9288889Zの件_大平　厚志_20250606</t>
  </si>
  <si>
    <t>2S</t>
  </si>
  <si>
    <t>彦根ロジスティクス（株）</t>
  </si>
  <si>
    <t>W091444_W091441_W091445,</t>
  </si>
  <si>
    <t>故障品管理番号3S9288889Zの件</t>
  </si>
  <si>
    <t>ゼロ点シフト発生_x000D_
W091444：-45Pa_x000D_
W091441：+11Pa_x000D_
W091445：5Pa</t>
  </si>
  <si>
    <t>_E250609:atsushi-ohira@krone.co.jp&gt;</t>
  </si>
  <si>
    <t xml:space="preserve"> 1|KS29F-INNNG,KS2900-1000Pa-I-N-N-N-G,W091444_W091441_W091445,3,,,,,|</t>
  </si>
  <si>
    <t>KS2900-1000Pa-I-N-N-N-GKS2900_2S4　大日本SCR株式会社 SE枚葉_彦根ロジスティクス（株）_社内_KS系ゼロ点シフト_故障品管理番号3S9291583Zの件_大平　厚志_20250606</t>
  </si>
  <si>
    <t>W175861_W135502,</t>
  </si>
  <si>
    <t>故障品管理番号3S9291583Zの件</t>
  </si>
  <si>
    <t>ゼロ点シフト発生_x000D_
W175861：+6Pa_x000D_
W135502：-7Pa</t>
  </si>
  <si>
    <t xml:space="preserve"> 1|KS29F-INNNG,KS2900-1000Pa-I-N-N-N-G,W175861_W135502,2,,,,,|</t>
  </si>
  <si>
    <t>KS3200-±300Pa-I-N-N-N-NKS3200_サンワテクノス株式会社　関西支社_サンワテクノス株式会社　大阪支店_三浦工業様向け差圧計不具合の件_大平_20250609</t>
  </si>
  <si>
    <t>38679</t>
  </si>
  <si>
    <t>サンワテクノス株式会社　関西支社</t>
  </si>
  <si>
    <t>サンワテクノス株式会社　大阪支店</t>
  </si>
  <si>
    <t>06-6202-3939</t>
  </si>
  <si>
    <t>KS32R-INNNN,BOXKS32-SUS,K3-CAL-2,K3-CAL-3,K3-CAL-4,K3-CAL-5,</t>
  </si>
  <si>
    <t>KS3200-±300Pa-I-N-N-N-N,BOX for KS32ｼﾘｰｽﾞ *SUS*(屋外BOX),KDM/KSﾄﾚｰｻﾋﾞﾘﾃｨ体系図,KDM/KS検査成績書,KDM/KS校正証明書,KDM/KS基準器証明書,</t>
  </si>
  <si>
    <t>,,,,,,</t>
  </si>
  <si>
    <t>三浦工業様向け差圧計不具合の件</t>
  </si>
  <si>
    <t>電源投入時に起動しない。</t>
  </si>
  <si>
    <t>BOXのS/Nは003001ですが、中身のみ入れ替えているそうで、_x000D_
BOX　S/N：001706に入っていたKS3200です。</t>
  </si>
  <si>
    <t>_E250612:atsushi-ohira@krone.co.jp&gt;</t>
  </si>
  <si>
    <t xml:space="preserve"> 6|KS32R-INNNN,KS3200-±300Pa-I-N-N-N-N,,1,J250100089-00,,,,|BOXKS32-SUS,BOX for KS32ｼﾘｰｽﾞ *SUS*(屋外BOX),,1,J250100090-00,,,,|K3-CAL-2,KDM/KSﾄﾚｰｻﾋﾞﾘﾃｨ体系図,,1,0,,,,|K3-CAL-3,KDM/KS検査成績書,,1,0,,,,|K3-CAL-4,KDM/KS校正証明書,,1,0,,,,|K3-CAL-5,KDM/KS基準器証明書,,1,0,,,,|</t>
  </si>
  <si>
    <t>KS3200-1000Pa-I-N-N-N-G_2S4　大日本SCR株式会社 SE枚葉__動作不良_3S923783Z-01_平木　勝_20250616</t>
  </si>
  <si>
    <t>2025/06/24 10:09:32</t>
  </si>
  <si>
    <t>R001367,</t>
  </si>
  <si>
    <t>動作不良_3S923783Z-01</t>
  </si>
  <si>
    <t>「C.Err」を表示している事を発見。ゼロ調整を行ったが変化なし。_x000D_
べつの微差圧計に変更したところ、問題無し_x000D_
解析調査をお願いします。</t>
  </si>
  <si>
    <t>付属：専用箱</t>
  </si>
  <si>
    <t xml:space="preserve">KS3200内部のキャリブレーションデーがオーバーフローしていることによるC.Errの発生を確認しました。_x000D_
通常、測定レンジを超えた状態(表示ブリンク時)での強制ゼロは不可能ですが、圧力を数段階に分けて印加することで強制ゼロが使用可能になってしまいます(例1, 例2 参照)。_x000D_
本解析品は例2のような状態で強制ゼロを行った結果、キャリブレーション値が設定範囲を超過し「C.Err」が発生したと考えられます。。_x000D_
強制ゼロ機能を使用する際には圧力範囲に注意するようお願いします。_x000D_
_x000D_
例1                                                                                  例2_x000D_
　　　回数　印加圧　　　　表示値　　　　　　　　　　　　　　　　　　　回数　印加圧　表示値(強制ゼロ前)　表示値(強制ゼロ後)_x000D_
　　　　1　　 1500　　 1500(ブリンク)　　←強制ゼロ不可　　　 　　1　　　 500       　　　 500                              0_x000D_
　　　　　　　　　　　　　　　　　　　　　　　　　　　　　　　　　　　　　　　　　2　　 1000      　　　  500　　　　　　　　　　　　　0_x000D_
　　　　　　　　　　　　　　　　　　　　　　　　　　　　　　　　　　　　　　　　　3　　 1500      　　　  500　　　　　　　　　　　0(C.err)_x000D_
</t>
  </si>
  <si>
    <t>製品の圧力レンジを超えた圧を印加した状態で強制ゼロを使用したことによるキャリブレーションエラーが発生しておりました。_x000D_
再調整・再校正にて修理可能です。</t>
  </si>
  <si>
    <t>対策不要</t>
  </si>
  <si>
    <t>\\192.168.1.201\品質管理\顧客要求管理ツール\添付\534_KS3200-1000Pa-I-N-N-N-G_2S4　大日本SCR株式会社 SE枚葉__動作不良_3S923783Z-01_平木　勝_20250616.xlsx|Z:\【技術部管理文書】\53_故障解析報告書\解析中\★処理完了\534_KS3200-1000Pa-I-N-N-N-G_2S4　大日本SCR株式会社 SE枚葉__動作不良_3S923783Z-01_平木　勝_20250616.xlsx|</t>
  </si>
  <si>
    <t>_E250616:m-hiraki@krone.co.jp&gt;_D250624:masaru-yoshida@krone.co.jp&gt;</t>
  </si>
  <si>
    <t xml:space="preserve"> 1|KS32F-INNNG,KS3200-1000Pa-I-N-N-N-G,R001367,1,,,2025/6/24,ユーザー責,残留品有り|</t>
  </si>
  <si>
    <t>KDM30-35MPaG-B-YLKDM30標準_宇野株式会社__KDM30の修理解析依頼です。_秋葉_20250616</t>
  </si>
  <si>
    <t>2025/06/26 17:49:42</t>
  </si>
  <si>
    <t>KDM30-35MPaG-B-YL</t>
  </si>
  <si>
    <t>K3G-0035B-Y,</t>
  </si>
  <si>
    <t>KDM30-35MPaG-B-YL,</t>
  </si>
  <si>
    <t>70291　020,</t>
  </si>
  <si>
    <t>KDM30の修理解析依頼です。</t>
  </si>
  <si>
    <t>・表示がぱらつく_x000D_
・圧力表示が0から動かない</t>
  </si>
  <si>
    <t xml:space="preserve">センサーの故障かと思われますがご対応宜しくお願い致します。_x000D_
</t>
  </si>
  <si>
    <t>落下等によりメイン基板がフロントカバーから脱落しその衝撃が内部に伝わりFG線が断線した物と_x000D_
思われます。_x000D_
_x000D_
FG線は通常この程度の衝撃では断線等起こさないので製造不良が原因と思われます。_x000D_
電気的なノイズや静電気等がFG線を通して逃げていくことが出来ず圧力センサーを破壊した物と思われます。</t>
  </si>
  <si>
    <t>弊社製造不良によるFG線の断線で圧力センサーにノイズが入り破損した物と思われます。_x000D_
_x000D_
フロントパネル、FG線、圧力センサーの交換及び再校正にて修理が可能です。_x000D_
弊社の製造不良が原因ですので無償修理とさせていただきます。_x000D_
_x000D_
大変申し訳ありませんでした。</t>
  </si>
  <si>
    <t>\\192.168.1.201\品質管理\顧客要求管理ツール\添付\535_KDM30-35MPaG-B-YLKDM30標準_宇野株式会社__KDM30の修理解析依頼です。_秋葉_20250616.xlsx|Z:\【技術部管理文書】\53_故障解析報告書\完了報告書\535_KDM30-35MPaG-B-YLKDM30標準_宇野株式会社__KDM30の修理解析依頼です。_秋葉_20250616.xlsx|</t>
  </si>
  <si>
    <t>_E250616:r-akiha@krone.co.jp&gt;_D250626:masaru-yoshida@krone.co.jp&gt;</t>
  </si>
  <si>
    <t xml:space="preserve"> 1|K3G-0035B-Y,KDM30-35MPaG-B-YL,70291　020,1,,,,,|</t>
  </si>
  <si>
    <t>KDM30α-35MPaG-B-BL-WKDM30MW920 _株式会社センサスヤマモト_（有）アルファシステム_無線IDが変わっている。＋電池の消耗が他に比べて早い【しゅうり】_上田_20250623</t>
  </si>
  <si>
    <t>37109</t>
  </si>
  <si>
    <t>（有）アルファシステム</t>
  </si>
  <si>
    <t>052-776-4567</t>
  </si>
  <si>
    <t>K3aG-0035B-BW,</t>
  </si>
  <si>
    <t>KDM30α-35MPaG-B-BL-W,</t>
  </si>
  <si>
    <t>122249 015,</t>
  </si>
  <si>
    <t>無線IDが変わっている。＋電池の消耗が他に比べて早い【しゅうり】</t>
  </si>
  <si>
    <t>ＩＤ29で出荷し、実際にはID5になってしまっている。_x000D_
電池の消耗が他に出荷した28台より早い。</t>
  </si>
  <si>
    <t>_E250623:t-ueda@krone.co.jp&gt;_E250624:masaru-yoshida@krone.co.jp&gt;</t>
  </si>
  <si>
    <t xml:space="preserve"> 1|K3aG-0035B-BW,KDM30α-35MPaG-B-BL-W,122249 015,1,J241100442-00,,,,|</t>
  </si>
  <si>
    <t>KS2900-1000Pa-I-N-N-N-GKS2900_2S4　大日本SCR株式会社 SE枚葉_彦根ロジスティクス（株）_社内_KS系ゼロ点シフト_故障品管理番号：3S9292507Z-01の件_大平　厚志_20250630</t>
  </si>
  <si>
    <t>W073464,</t>
  </si>
  <si>
    <t>故障品管理番号：3S9292507Z-01の件</t>
  </si>
  <si>
    <t>ゼロ点シフト発生_x000D_
大気開放時-6Paを表示</t>
  </si>
  <si>
    <t>_E250630:atsushi-ohira@krone.co.jp&gt;</t>
  </si>
  <si>
    <t xml:space="preserve"> 1|KS29F-INNNG,KS2900-1000Pa-I-N-N-N-G,W073464,1,,,,,|</t>
  </si>
  <si>
    <t>KS2900-1000Pa-I-N-N-N-NKS2900_株式会社日立産機システム_㈱日立産機システム_KS2900-1000Pa-I-N-N-N-N　LCD欠け_吉澤一浩_20250701</t>
  </si>
  <si>
    <t>㈱日立産機ｼｽﾃﾑ</t>
  </si>
  <si>
    <t>KS2900-1000</t>
  </si>
  <si>
    <t>W175704,</t>
  </si>
  <si>
    <t>KS2900-1000Pa-I-N-N-N-N　LCD欠け</t>
  </si>
  <si>
    <t>LCD表示欠け</t>
  </si>
  <si>
    <t>_E250701:k-yoshizawa@krone.co.jp&gt;</t>
  </si>
  <si>
    <t xml:space="preserve"> 1|KS29F-INNNN,KS2900-1000Pa-I-N-N-N-N,W175704,1,,,,,|</t>
  </si>
  <si>
    <t>回答日</t>
    <phoneticPr fontId="5"/>
  </si>
  <si>
    <t>KDM30-70MPaG-B-BL-ZKDM30MW2.4_丸藤シートパイル株式会社__電源が付かない_上田　哲矢_20250703</t>
  </si>
  <si>
    <t>丸藤</t>
  </si>
  <si>
    <t>丸藤シートパイル株式会社</t>
  </si>
  <si>
    <t>KDM30-70MPaG</t>
  </si>
  <si>
    <t>K3G-0070B-BZ,</t>
  </si>
  <si>
    <t>KDM30-70MPaG-B-BL-Z,</t>
  </si>
  <si>
    <t>85938 076,</t>
  </si>
  <si>
    <t>電源が付かない</t>
  </si>
  <si>
    <t>工事現場へ貸出し。２年以上現場に取り付いており、今回回収した所、フロントパネルが外れた状態で電源もつかなくなっていた。</t>
  </si>
  <si>
    <t>解析お願いします。</t>
  </si>
  <si>
    <t>SIKA温度校正器再校正(クローネ校正)社外_調整有_ニプロファーマ株式会社_ニプロファーマ株式会社　埼玉第１工場_校正　不具合判定時の報告について_兵働_20250514</t>
  </si>
  <si>
    <t>ＴＥＳＴ２</t>
  </si>
  <si>
    <t>_E241122:h-araki@krone.co.jp&gt;_D241122:h-araki@krone.co.jp&gt;_K241122:h-araki@krone.co.jp&lt;_K241125:h-araki@krone.co.jp&lt;_E241211:h-araki@krone.co.jp&gt;_D241220:h-araki@krone.co.jp&gt;_D241220:h-araki@krone.co.jp&gt;_D241220:h-araki@krone.co.jp&gt;_E250219:masaru-yoshida@krone.co.jp&gt;_E250307:h-araki@krone.co.jp&gt;_E250307:h-araki@krone.co.jp&gt;_E250307:h-araki@krone.co.jp&gt;_E250307:h-araki@krone.co.jp&gt;_D250416:h-araki@krone.co.jp&gt;_E250417:h-araki@krone.co.jp&gt;_D250417:h-araki@krone.co.jp&gt;_E250606:h-araki@krone.co.jp&gt;_E250623:h-araki@krone.co.jp&gt;_E250623:h-araki@krone.co.jp&gt;_K250623:h-araki@krone.co.jp&lt;_K250624:h-araki@krone.co.jp&lt;_K250624:h-araki@krone.co.jp&lt;_K250624:h-araki@krone.co.jp&lt;_K250624:h-araki@krone.co.jp&lt;_E250627:h-araki@krone.co.jp&gt;_E250703:h-araki@krone.co.jp&gt;</t>
  </si>
  <si>
    <t>2025/07/08 18:20:51</t>
  </si>
  <si>
    <t>同梱の電池に緑青の付着が認められます。（写真参照）電極に直接緑青が付着した後はありません（写真）でしたが、電池挿入時に接触不良が発生した可能性があります。_x000D_
本製品において、電池を挿入する際に電池と製品側の電極がの接触が悪いと、無線モジュールが起動しモジュールの初期設定前に電源が切れるとIDが初期化することがあります。_x000D_
電池挿入の際の接触不良は緑青の付着以外にも、電極の摩耗、電池の形状（規格品でない高容量の電池等に見受けれれます）等により発生する可能性があることから下記の対策を講じることとします</t>
  </si>
  <si>
    <t>電池投入時に電池電極の接触不良によりKDM30α内部の無線モジュールが起動不良を起こし、設定が変更されてしまいました。_x000D_
暫定対策としてソフトウェアの修正を行い、現象が発生した際にもシステムが安定動作するよう処理を追加しました。_x000D_
_x000D_
受領品に関しては修正後のプログラムを書き込み返却いたします。_x000D_
この度はご迷惑をおかけしまして大変申し訳ございませんでした。</t>
  </si>
  <si>
    <t>要</t>
  </si>
  <si>
    <t>恒久対策（予定）_x000D_
基板の修正を行い、無線モジュールへの電源供給はシステムが立ち上がり電源が安定してから行うよう変更します。_x000D_
_x000D_
暫定対策(実施済み)_x000D_
ソフトウェア修正により、無線送信毎に設定の整合性を確認し、KDM30α本体と無線モジュールに差異があった場合再設定を行うよう処理を追加しました。</t>
  </si>
  <si>
    <t>\\192.168.1.201\品質管理\顧客要求管理ツール\添付\515_KDM30α-1MPaC-B-BL-W_株式会社センサスヤマモト__無線通信時、設定したchと異なるchに圧力値が表示される件_秋葉_20250521.xlsx|Z:\【技術部管理文書】\53_故障解析報告書\完了報告書\515_KDM30α-1MPaC-B-BL-W_株式会社センサスヤマモト__無線通信時、設定したchと異なるchに圧力値が表示される件_秋葉_20250521.xlsx|</t>
  </si>
  <si>
    <t>_E250521:r-akiha@krone.co.jp&gt;_D250708:masaru-yoshida@krone.co.jp&gt;</t>
  </si>
  <si>
    <t>Gen-100-003_再防記_515_KDM30α-1MPaC-B-BL-W_株式会社センサスヤマモト__無線通信時、設定したchと異なるchに圧力値が表示される件_秋葉_20250521</t>
  </si>
  <si>
    <t>2025/07/09 15:21:38</t>
  </si>
  <si>
    <t xml:space="preserve">KDM30内部に液体が入り込み各基板が腐食した事により破損しました。_x000D_
圧力センサーもメイン基板破損により影響を与え破損したものと思われます。_x000D_
</t>
  </si>
  <si>
    <t>内部に液体が入り、メイン基板、バッテリー基板が腐食し正常に動作しなくなっていました。_x000D_
圧力センサーも破損しており加圧しても数値に変化は無い状態でした。_x000D_
メイン基板、バッテリー基板、圧力センサー、フロントカバー（メンブレンスイッチ含む）、メインケーブル、_x000D_
FG線のｌ交換及び再校正により修理は可能です。</t>
  </si>
  <si>
    <t>\\192.168.1.201\品質管理\顧客要求管理ツール\添付\539_KDM30-70MPaG-B-BL-ZKDM30MW2.4_丸藤シートパイル株式会社__電源が付かない_上田　哲矢_20250703.xlsx|Z:\【技術部管理文書】\53_故障解析報告書\完了報告書\539_KDM30-70MPaG-B-BL-ZKDM30MW2.4_丸藤シートパイル株式会社__電源が付かない_上田　哲矢_20250703.xlsx|</t>
  </si>
  <si>
    <t>_E250703:t-ueda@krone.co.jp&gt;_D250709:masaru-yoshida@krone.co.jp&gt;</t>
  </si>
  <si>
    <t xml:space="preserve"> 1|K3G-0070B-BZ,KDM30-70MPaG-B-BL-Z,85938 076,1,,,2025/7/9,ユーザー責,残留品有り|</t>
  </si>
  <si>
    <t>社外_調整無_六合エレメック株式会社_リンナイテクニカ_社外_調整無Honeywelll_Honeywell　圧力トランスミッター（MIPS）Zero出力＆入出力抵抗値確認_瀬川_20250703</t>
  </si>
  <si>
    <t>21541</t>
  </si>
  <si>
    <t>六合</t>
  </si>
  <si>
    <t>六合エレメック株式会社</t>
  </si>
  <si>
    <t>リンナイテクニカ</t>
  </si>
  <si>
    <t>052-931-6566</t>
  </si>
  <si>
    <t>MIPS</t>
  </si>
  <si>
    <t>MIPAR1XX016BSAAX,</t>
  </si>
  <si>
    <t>Honeywell　圧力トランスミッター（MIPS）Zero出力＆入出力抵抗値確認</t>
  </si>
  <si>
    <t>装置取付後の出荷前検査で不具合症状確認_x000D_
①Zero出力：4.927VDC【DATE：240404/SN00207】　②ハーネス折り返し部を伸ばすと出力情報　Zero出力：3.538～3.656VDC_x000D_
③Zero出力：4.957VDC（センサ抵抗値：赤白間：1.9Ω）</t>
  </si>
  <si>
    <t>3製品のZero出力＆入出力抵抗値を確認願います</t>
  </si>
  <si>
    <t>Honeywelll</t>
  </si>
  <si>
    <t>_E250707:segawa@krone.co.jp&gt;</t>
  </si>
  <si>
    <t xml:space="preserve"> 1|MIPAR1XX016BSAAX,,,3,,,,,|</t>
  </si>
  <si>
    <t>KDM30-500kPaG-A-BLKDM30標準_宇野株式会社_株式会社スライブ精工_KDM30　精度の確認_山本_20250709</t>
  </si>
  <si>
    <t>41380</t>
  </si>
  <si>
    <t>株式会社スライブ精工</t>
  </si>
  <si>
    <t>092-432-0700</t>
  </si>
  <si>
    <t>KDM30-500kPaG-A-BL</t>
  </si>
  <si>
    <t>K3G-0.50A-B,</t>
  </si>
  <si>
    <t>KDM30-500kPaG-A-BL,</t>
  </si>
  <si>
    <t>145624 093,</t>
  </si>
  <si>
    <t>KDM30　精度の確認</t>
  </si>
  <si>
    <t>”５月に納品されたばかりのKDMについて、出力値が客先センサと異なっているため点検して欲しい”との依頼。_x000D_
_x000D_
客先センサについての詳細は、商社の担当者に確認中。</t>
  </si>
  <si>
    <t>_E250709:a-yamamoto@krone.co.jp&gt;</t>
  </si>
  <si>
    <t xml:space="preserve"> 1|K3G-0.50A-B,KDM30-500kPaG-A-BL,145624 093,1,J250500025-00,,,,|</t>
  </si>
  <si>
    <t>KS2900-1000Pa-I-N-N-C-GKS2900_株式会社荏原製作所_㈱荏原製作所 精密 熊本工場 K1棟 部品在_KS2900　LCD不良_藤原_20250709</t>
  </si>
  <si>
    <t>藤原</t>
  </si>
  <si>
    <t>荏原</t>
  </si>
  <si>
    <t>㈱荏原製作所 精密 熊本工場 K1棟 部品在</t>
  </si>
  <si>
    <t>W176523_x000D_
,</t>
  </si>
  <si>
    <t>KS2900　LCD不良</t>
  </si>
  <si>
    <t xml:space="preserve">微差圧計(PS-4CA11)の表示で、3桁目が薄く点滅する時があります。_x000D_
設定は可能で、動作に支障はありませんでした。_x000D_
</t>
  </si>
  <si>
    <t>LCDの確認をお願いします。</t>
  </si>
  <si>
    <t>_E250709:taka-fujiwara@krone.co.jp&gt;</t>
  </si>
  <si>
    <t xml:space="preserve"> 1|KS29F-INNCG,KS2900-1000Pa-I-N-N-C-G,W176523_x000D_
,1,,,,,|</t>
  </si>
  <si>
    <t>KDM30α-35MPaG-B-BL-WKDM30MW920 _株式会社センサスヤマモト_（有）アルファシステム_無線IDが変わっている。＋電池の消耗が他に比べて早い_上田_20250623</t>
  </si>
  <si>
    <t>無線IDが変わっている。＋電池の消耗が他に比べて早い</t>
  </si>
  <si>
    <t>電池投入時に電池電極の接触不良によりKDM30α内部の無線モジュールが起動不良を起こし、設定が変更されてしまいました。_x000D_
暫定対策としてソフトウェアの修正を行い、現象が発生した際にもシステムが安定動作するよう処理を追加しました。_x000D_
_x000D_
修理は無償で修正後のプログラムを書き込み返却いたします。_x000D_
ご迷惑をおかけしまして大変申し訳ございませんでした。</t>
  </si>
  <si>
    <t>536</t>
  </si>
  <si>
    <t>本製品において、電池を挿入する際に電池と製品側電極の接触が悪いと、無線モジュールを起動しモジュールの初期設定時に電源が切れ、IDが初期化することがあります。_x000D_
電池挿入の際の接触不良や電極の摩耗、電池の形状（規格品でない高容量の電池等に見受けられます）等により発生する可能性があることからプログラムの修正によって対策致します。_x000D_
_x000D_
本製品の消費電流を調べたところ、122mAでした。正常値は150mA以下に設定していますので異常はありませんでした。</t>
  </si>
  <si>
    <t>\\192.168.1.201\品質管理\顧客要求管理ツール\添付\544_KDM30α-35MPaG-B-BL-WKDM30MW920 _株式会社センサスヤマモト_（有）アルファシステム_無線IDが変わっている。＋電池の消耗が他に比べて早い_上田_20250623.xlsx|</t>
  </si>
  <si>
    <t>Gen-001-002a01</t>
  </si>
  <si>
    <t>KDM30α-35MPaG-B-BL-WKDM30MW920 _株式会社センサスヤマモト_（有）アルファシステム_無線通信時、設定したchと異なるchに圧力値が表示される件_上田_20250623</t>
  </si>
  <si>
    <t>2025/07/11 12:03:42</t>
  </si>
  <si>
    <t>本製品において、電池を挿入する際に電池と製品側電極の接触が悪いと、無線モジュールを起動しモジュールの初期設定時に電源が切れ、IDが初期化することがあります。_x000D_
電池挿入の際の接触不良や電極の摩耗、電池の形状（規格品でない高容量の電池等に見受けられます）等により発生する可能性があることからプログラムの修正によって対策致します。_x000D_
_x000D_
本製品の消費電流を調べたところ、122μAでした。正常値は150μA以下に設定していますので異常はありませんでした。</t>
  </si>
  <si>
    <t>_D250711:masaru-yoshida@krone.co.jp&gt;</t>
  </si>
  <si>
    <t>544</t>
  </si>
  <si>
    <t>\\192.168.1.201\品質管理\顧客要求管理ツール\添付\544_KDM30α-35MPaG-B-BL-WKDM30MW920 _株式会社センサスヤマモト_（有）アルファシステム_無線IDが変わっている。＋電池の消耗が他に比べて早い_上田_20250623.xlsx|\\192.168.1.201\品質管理\顧客要求管理ツール\添付\545_KDM30α-35MPaG-B-BL-WKDM30MW920 _株式会社センサスヤマモト_（有）アルファシステム_無線通信時、設定したchと異なるchに圧力値が表示される件_上田_20250623.xlsx|Z:\【技術部管理文書】\53_故障解析報告書\完了報告書\545_KDM30α-35MPaG-B-BL-WKDM30MW920 _株式会社センサスヤマモト_（有）アルファシステム_無線通信時、設定したchと異なるchに圧力値が表示される件_上田_20250623.xlsx|</t>
  </si>
  <si>
    <t>_テスト__社内_開発中TEST_ＴＥＳＴ２_テスト_20250703</t>
  </si>
  <si>
    <t>A</t>
  </si>
  <si>
    <t>α</t>
  </si>
  <si>
    <t>tetsuya-doi@krone.co.jp;masaru-yoshida@krone.co.jp</t>
  </si>
  <si>
    <t>β</t>
  </si>
  <si>
    <t>masaru-yoshida@krone.co.jp;m-matsuya@krone.co.jp;h-kato@krone.co.jp;y-honma@krone.co.jp;yuji-yamashita@krone.co.jp</t>
  </si>
  <si>
    <t>ε</t>
  </si>
  <si>
    <t>t-yotsukura@krone.co.jp;eri-tokunaga@krone.co.jp</t>
  </si>
  <si>
    <t>B</t>
  </si>
  <si>
    <t>C</t>
  </si>
  <si>
    <t>t-yotsukura@krone.co.jp;h.takahashi@krone.co.jp</t>
  </si>
  <si>
    <t>γ</t>
  </si>
  <si>
    <t>T0(要求､製品ｶﾃｺﾞﾘ)</t>
  </si>
  <si>
    <t>YF</t>
    <phoneticPr fontId="5"/>
  </si>
  <si>
    <t>+----------------------+---------------+------+-----+---------------------+-----------------------------------------------+</t>
  </si>
  <si>
    <t>| Field                | Type          | Null | Key | Default             | Extra                                         |</t>
  </si>
  <si>
    <t>| DB_ID                | int           | NO   | PRI | NULL                | auto_increment                                |</t>
  </si>
  <si>
    <t>| 受付ID               | text          | YES  |     | NULL                |                                               |</t>
  </si>
  <si>
    <t>| 受注No               | varchar(20)   | YES  |     | NULL                |                                               |</t>
  </si>
  <si>
    <t>| 製番                 | varchar(1023) | YES  |     | NULL                |                                               |</t>
  </si>
  <si>
    <t>| 部門名称             | varchar(20)   | YES  |     | NULL                |                                               |</t>
  </si>
  <si>
    <t>| 担当者名称           | varchar(20)   | YES  |     | NULL                |                                               |</t>
  </si>
  <si>
    <t>| 受付日               | datetime      | YES  |     | NULL                |                                               |</t>
  </si>
  <si>
    <t>| 得意先検索           | varchar(50)   | YES  |     | NULL                |                                               |</t>
  </si>
  <si>
    <t>| 得意先名称           | varchar(127)  | YES  |     | NULL                |                                               |</t>
  </si>
  <si>
    <t>| 納入先名称           | varchar(127)  | YES  |     | NULL                |                                               |</t>
  </si>
  <si>
    <t>| 電話番号             | varchar(50)   | YES  |     | NULL                |                                               |</t>
  </si>
  <si>
    <t>| 発生場所             | varchar(20)   | YES  |     | NULL                |                                               |</t>
  </si>
  <si>
    <t>| 製品カテゴリ         | varchar(50)   | YES  |     | NULL                |                                               |</t>
  </si>
  <si>
    <t>| 製品名               | varchar(50)   | YES  |     | NULL                |                                               |</t>
  </si>
  <si>
    <t>| 品目検索             | varchar(50)   | YES  |     | NULL                |                                               |</t>
  </si>
  <si>
    <t>| 品目コード           | varchar(1023) | YES  |     | NULL                |                                               |</t>
  </si>
  <si>
    <t>| 品目名               | varchar(1023) | YES  |     | NULL                |                                               |</t>
  </si>
  <si>
    <t>| シリアルナンバ       | varchar(1023) | YES  |     | NULL                |                                               |</t>
  </si>
  <si>
    <t>| 納入日               | datetime      | YES  |     | NULL                |                                               |</t>
  </si>
  <si>
    <t>| 件名                 | text          | YES  |     | NULL                |                                               |</t>
  </si>
  <si>
    <t>| 現象                 | text          | YES  |     | NULL                |                                               |</t>
  </si>
  <si>
    <t>| 確認事項             | text          | YES  |     | NULL                |                                               |</t>
  </si>
  <si>
    <t>| 分類入力             | varchar(1023) | YES  |     | NULL                |                                               |</t>
  </si>
  <si>
    <t>| 発生日               | datetime      | YES  |     | NULL                |                                               |</t>
  </si>
  <si>
    <t>| 見積要否             | varchar(20)   | YES  |     | NULL                |                                               |</t>
  </si>
  <si>
    <t>| 修理要否             | varchar(20)   | YES  |     | NULL                |                                               |</t>
  </si>
  <si>
    <t>| 返却要否             | varchar(20)   | YES  |     | NULL                |                                               |</t>
  </si>
  <si>
    <t>| エスカレ選択         | varchar(50)   | YES  |     | NULL                |                                               |</t>
  </si>
  <si>
    <t>| 処置内容             | text          | YES  |     | NULL                |                                               |</t>
  </si>
  <si>
    <t>| 預品処置             | varchar(50)   | YES  |     | NULL                |                                               |</t>
  </si>
  <si>
    <t>| 完了日               | datetime      | YES  |     | NULL                |                                               |</t>
  </si>
  <si>
    <t>| 最終承認者           | varchar(40)   | YES  |     | NULL                |                                               |</t>
  </si>
  <si>
    <t>| エスカレ情報不足     | text          | YES  |     | NULL                |                                               |</t>
  </si>
  <si>
    <t>| 自責ユーザー責       | varchar(20)   | YES  |     | NULL                |                                               |</t>
  </si>
  <si>
    <t>| 修理調整の可否       | varchar(20)   | YES  |     | NULL                |                                               |</t>
  </si>
  <si>
    <t>| ユーザー責時見積情報 | text          | YES  |     | NULL                |                                               |</t>
  </si>
  <si>
    <t>| 原因                 | text          | YES  |     | NULL                |                                               |</t>
  </si>
  <si>
    <t>| 原因品目検索         | varchar(50)   | YES  |     | NULL                |                                               |</t>
  </si>
  <si>
    <t>| 原因品目コード       | varchar(1023) | YES  |     |                     |                                               |</t>
  </si>
  <si>
    <t>| 原因品目名           | varchar(1023) | YES  |     |                     |                                               |</t>
  </si>
  <si>
    <t>| 結論                 | text          | YES  |     | NULL                |                                               |</t>
  </si>
  <si>
    <t>| 対策要否             | varchar(20)   | YES  |     | NULL                |                                               |</t>
  </si>
  <si>
    <t>| 対策                 | text          | YES  |     | NULL                |                                               |</t>
  </si>
  <si>
    <t>| 重要度               | varchar(50)   | YES  |     | NULL                |                                               |</t>
  </si>
  <si>
    <t>| 添付ファイル         | text          | YES  |     | NULL                |                                               |</t>
  </si>
  <si>
    <t>| 対策担当             | varchar(40)   | YES  |     | NULL                |                                               |</t>
  </si>
  <si>
    <t>| 対策承認             | varchar(40)   | YES  |     | NULL                |                                               |</t>
  </si>
  <si>
    <t>| 回答希望日           | datetime      | YES  |     | 1111-11-11 00:00:00 |                                               |</t>
  </si>
  <si>
    <t>| 回答予定日           | datetime      | YES  |     | 1111-11-11 00:00:00 |                                               |</t>
  </si>
  <si>
    <t>| 発信者               | varchar(40)   | YES  |     | NULL                |                                               |</t>
  </si>
  <si>
    <t>| 履歴                 | text          | YES  |     | NULL                |                                               |</t>
  </si>
  <si>
    <t>| エ発信者             | varchar(40)   | YES  |     | NULL                |                                               |</t>
  </si>
  <si>
    <t>| preDB_ID             | varchar(12)   | YES  |     | NULL                |                                               |</t>
  </si>
  <si>
    <t>| created_at           | datetime      | NO   |     | CURRENT_TIMESTAMP   | DEFAULT_GENERATED                             |</t>
  </si>
  <si>
    <t>| updated_at           | datetime      | NO   |     | CURRENT_TIMESTAMP   | DEFAULT_GENERATED on update CURRENT_TIMESTAMP |</t>
  </si>
  <si>
    <t>| 品目リスト           | text          | YES  |     | NULL                |                                               |</t>
  </si>
  <si>
    <t>| 再発防止要否         | varchar(20)   | YES  |     | NULL                |                                               |</t>
  </si>
  <si>
    <t>| 対策文書             | text          | YES  |     | NULL                |                                               |</t>
  </si>
  <si>
    <t>MakeDt</t>
    <phoneticPr fontId="5"/>
  </si>
  <si>
    <t>Maker</t>
    <phoneticPr fontId="5"/>
  </si>
  <si>
    <t>ProblemPrevented</t>
    <phoneticPr fontId="5"/>
  </si>
  <si>
    <t>RootCause</t>
    <phoneticPr fontId="5"/>
  </si>
  <si>
    <t>CauseToEffect</t>
    <phoneticPr fontId="5"/>
  </si>
  <si>
    <t>RootCausePrevention</t>
    <phoneticPr fontId="5"/>
  </si>
  <si>
    <t>CauseToEffectPrevention</t>
    <phoneticPr fontId="5"/>
  </si>
  <si>
    <t>データの更新</t>
  </si>
  <si>
    <r>
      <t>外部キー制約を追加した後、</t>
    </r>
    <r>
      <rPr>
        <sz val="10"/>
        <color theme="1"/>
        <rFont val="Arial Unicode MS"/>
        <family val="2"/>
      </rPr>
      <t>crms_test</t>
    </r>
    <r>
      <rPr>
        <sz val="11"/>
        <color theme="1"/>
        <rFont val="游ゴシック"/>
        <family val="2"/>
        <charset val="128"/>
        <scheme val="minor"/>
      </rPr>
      <t>の特定のレコードを</t>
    </r>
    <r>
      <rPr>
        <sz val="10"/>
        <color theme="1"/>
        <rFont val="Arial Unicode MS"/>
        <family val="2"/>
      </rPr>
      <t>sb_test</t>
    </r>
    <r>
      <rPr>
        <sz val="11"/>
        <color theme="1"/>
        <rFont val="游ゴシック"/>
        <family val="2"/>
        <charset val="128"/>
        <scheme val="minor"/>
      </rPr>
      <t>のレコードに紐づけるには、</t>
    </r>
    <r>
      <rPr>
        <sz val="10"/>
        <color theme="1"/>
        <rFont val="Arial Unicode MS"/>
        <family val="2"/>
      </rPr>
      <t>UPDATE</t>
    </r>
    <r>
      <rPr>
        <sz val="11"/>
        <color theme="1"/>
        <rFont val="游ゴシック"/>
        <family val="2"/>
        <charset val="128"/>
        <scheme val="minor"/>
      </rPr>
      <t>文を使用します。</t>
    </r>
  </si>
  <si>
    <t>UPDATE crms_test SET sb_id = [紐付けたいsb_idの値] WHERE crms_id = [更新したいcrms_testのレコードのID];</t>
  </si>
  <si>
    <t>ALTER TABLE crms_tbl ADD COLUMN sb_id INT;</t>
    <phoneticPr fontId="5"/>
  </si>
  <si>
    <t>ALTER TABLE crms_tbl ADD CONSTRAINT fk_sb_id FOREIGN KEY (sb_id) REFERENCES sb_tbl(sb_id);</t>
    <phoneticPr fontId="5"/>
  </si>
  <si>
    <t>sb_id</t>
    <phoneticPr fontId="5"/>
  </si>
  <si>
    <t>AssociateDBID</t>
    <phoneticPr fontId="5"/>
  </si>
  <si>
    <t>PApprovalDt</t>
    <phoneticPr fontId="5"/>
  </si>
  <si>
    <t>PApprover</t>
    <phoneticPr fontId="5"/>
  </si>
  <si>
    <t>Temp1</t>
    <phoneticPr fontId="5"/>
  </si>
  <si>
    <t>Temp2</t>
    <phoneticPr fontId="5"/>
  </si>
  <si>
    <t>DApprovalDt</t>
    <phoneticPr fontId="5"/>
  </si>
  <si>
    <t>DApprover</t>
    <phoneticPr fontId="5"/>
  </si>
  <si>
    <t>INT PRIMARY KEY,</t>
    <phoneticPr fontId="5"/>
  </si>
  <si>
    <t>date,</t>
    <phoneticPr fontId="5"/>
  </si>
  <si>
    <t>varchar(255),</t>
    <phoneticPr fontId="5"/>
  </si>
  <si>
    <t>text,</t>
    <phoneticPr fontId="5"/>
  </si>
  <si>
    <t xml:space="preserve">CREATE TABLE sb_tbl ( </t>
    <phoneticPr fontId="5"/>
  </si>
  <si>
    <t xml:space="preserve">  );</t>
    <phoneticPr fontId="5"/>
  </si>
  <si>
    <t>varchar(255)</t>
    <phoneticPr fontId="5"/>
  </si>
  <si>
    <t xml:space="preserve"> </t>
    <phoneticPr fontId="5"/>
  </si>
  <si>
    <t>| sb_id                | int           | YES  | MUL | NULL                |                                               |</t>
  </si>
  <si>
    <t>59 rows in set (0.01 sec)</t>
  </si>
  <si>
    <t>mysql&gt; DESCRIBE sb_tbl;</t>
  </si>
  <si>
    <t>+-------------------------+--------------+------+-----+---------+-------+</t>
  </si>
  <si>
    <t>| Field                   | Type         | Null | Key | Default | Extra |</t>
  </si>
  <si>
    <t>| sb_id                   | int          | NO   | PRI | NULL    |       |</t>
  </si>
  <si>
    <t>16 rows in set (0.01 sec)</t>
  </si>
  <si>
    <t>再発防止  sb_id</t>
    <rPh sb="0" eb="2">
      <t>サイハツ</t>
    </rPh>
    <rPh sb="2" eb="4">
      <t>ボウシ</t>
    </rPh>
    <phoneticPr fontId="5"/>
  </si>
  <si>
    <t>再発防止sb_id</t>
    <rPh sb="0" eb="2">
      <t>サイハツ</t>
    </rPh>
    <rPh sb="2" eb="4">
      <t>ボウシ</t>
    </rPh>
    <phoneticPr fontId="5"/>
  </si>
  <si>
    <t>mysql -u root -h 192.168.1.203 -p5431</t>
    <phoneticPr fontId="5"/>
  </si>
  <si>
    <t>データの追加</t>
    <rPh sb="4" eb="6">
      <t>ツイカ</t>
    </rPh>
    <phoneticPr fontId="5"/>
  </si>
  <si>
    <t>| ProblemPrevented        | text         | YES  |     | NULL    |       |</t>
    <phoneticPr fontId="5"/>
  </si>
  <si>
    <t>| RootCause               | text         | YES  |     | NULL    |       |</t>
    <phoneticPr fontId="5"/>
  </si>
  <si>
    <t>| CauseToEffect           | text         | YES  |     | NULL    |       |</t>
    <phoneticPr fontId="5"/>
  </si>
  <si>
    <t>| RootCausePrevention     | text         | YES  |     | NULL    |       |</t>
    <phoneticPr fontId="5"/>
  </si>
  <si>
    <t>| CauseToEffectPrevention | text         | YES  |     | NULL    |       |</t>
    <phoneticPr fontId="5"/>
  </si>
  <si>
    <t>| AssociateDBID           | text         | YES  |     | NULL    |       |</t>
    <phoneticPr fontId="5"/>
  </si>
  <si>
    <t>| PApprovalDt             | date         | YES  |     | NULL    |       |</t>
    <phoneticPr fontId="5"/>
  </si>
  <si>
    <t>| PApprover               | varchar(255) | YES  |     | NULL    |       |</t>
    <phoneticPr fontId="5"/>
  </si>
  <si>
    <t>| Temp1                   | text         | YES  |     | NULL    |       |</t>
    <phoneticPr fontId="5"/>
  </si>
  <si>
    <t>| Temp2                   | text         | YES  |     | NULL    |       |</t>
    <phoneticPr fontId="5"/>
  </si>
  <si>
    <t>| DApprovalDt             | date         | YES  |     | NULL    |       |</t>
    <phoneticPr fontId="5"/>
  </si>
  <si>
    <t>| DApprover               | varchar(255) | YES  |     | NULL    |       |</t>
    <phoneticPr fontId="5"/>
  </si>
  <si>
    <t xml:space="preserve"> ALTER TABLE sb_tbl ADD created_at TIMESTAMP DEFAULT CURRENT_TIMESTAMP, ADD updated_at TIMESTAMP DEFAULT CURRENT_TIMESTAMP ON UPDATE CURRENT_TIMESTAMP;</t>
    <phoneticPr fontId="5"/>
  </si>
  <si>
    <t>PrdtCatego</t>
    <phoneticPr fontId="5"/>
  </si>
  <si>
    <t>| PrdtCatego               | varchar(255) | YES  |     | NULL    |       |</t>
    <phoneticPr fontId="5"/>
  </si>
  <si>
    <t>sbTitle</t>
    <phoneticPr fontId="5"/>
  </si>
  <si>
    <t>CREATE TABLE sb_tbl ( sb_id INT PRIMARY KEY,MakeDt date,Maker varchar(255),sbTitletext,ProblemPrevented text,RootCause text,CauseToEffect text,RootCausePrevention text,CauseToEffectPrevention text,AssociateDBID text,PApprovalDt date,PApprover varchar(255),Temp1 text,Temp2 text,DApprovalDt date,DApprover varchar(255),PrdtCatego varchar(255)  );</t>
    <phoneticPr fontId="5"/>
  </si>
  <si>
    <t>| sbTitle                  | text         | YES  |     | NULL    |       |</t>
    <phoneticPr fontId="5"/>
  </si>
  <si>
    <t>INSERT INTO sb_tbl ( sb_id, MakeDt, Maker, ProblemPrevented, RootCause, CauseToEffect, RootCausePrevention, CauseToEffectPrevention, AssociateDBID, PApprovalDt, PApprover, Temp1, Temp2, DApprovalDt, DApprover, PrdtCatego,sbTitle) VALUES ( 0, CURRENT_DATE(), '', '', '', '', '', '', '', CURRENT_DATE(), '', '', '', CURRENT_DATE(), '', '' , '');</t>
    <phoneticPr fontId="5"/>
  </si>
  <si>
    <t>mysql&gt; DESCRIBE crms_tbl;</t>
    <phoneticPr fontId="5"/>
  </si>
  <si>
    <t>β不具合･解析</t>
    <phoneticPr fontId="5"/>
  </si>
  <si>
    <t>未定</t>
    <phoneticPr fontId="5"/>
  </si>
  <si>
    <t>修理･調整可能</t>
    <phoneticPr fontId="5"/>
  </si>
  <si>
    <t>2025/07/03</t>
    <phoneticPr fontId="5"/>
  </si>
  <si>
    <t>sbfrm.Temp1.ListItems(cnt).Text = ""</t>
    <phoneticPr fontId="5"/>
  </si>
  <si>
    <t>| MakeDt                  | date         | YES  |     | NULL    |       |</t>
    <phoneticPr fontId="5"/>
  </si>
  <si>
    <t>| Maker                   | varchar(255) | YES  |     | NULL    |       |</t>
    <phoneticPr fontId="5"/>
  </si>
  <si>
    <t>KS3200-100Pa-V-N-N-C-N_テスト__社内_KS系KS2900LCD不良_ＴＥＳＴ２_テスト_20250703</t>
    <phoneticPr fontId="5"/>
  </si>
  <si>
    <t xml:space="preserve">37693 </t>
    <phoneticPr fontId="5"/>
  </si>
  <si>
    <t>テスト</t>
    <phoneticPr fontId="5"/>
  </si>
  <si>
    <t>tesuto</t>
    <phoneticPr fontId="5"/>
  </si>
  <si>
    <t>2025/09/05 16:30:46</t>
    <phoneticPr fontId="5"/>
  </si>
  <si>
    <t>KS32</t>
    <phoneticPr fontId="5"/>
  </si>
  <si>
    <t>KS32B-VNNCN,</t>
    <phoneticPr fontId="5"/>
  </si>
  <si>
    <t>KS3200-100Pa-V-N-N-C-N,</t>
    <phoneticPr fontId="5"/>
  </si>
  <si>
    <t>123456,</t>
    <phoneticPr fontId="5"/>
  </si>
  <si>
    <t>2024/12/06</t>
    <phoneticPr fontId="5"/>
  </si>
  <si>
    <t>ＴＥＳＴ２</t>
    <phoneticPr fontId="5"/>
  </si>
  <si>
    <t>KS2900LCD不良</t>
    <phoneticPr fontId="5"/>
  </si>
  <si>
    <t>見積不要</t>
    <phoneticPr fontId="5"/>
  </si>
  <si>
    <t>完了(残留品は要返却)</t>
    <phoneticPr fontId="5"/>
  </si>
  <si>
    <t>2025/08/27</t>
    <phoneticPr fontId="5"/>
  </si>
  <si>
    <t>土井_x000D_
20250827</t>
    <phoneticPr fontId="5"/>
  </si>
  <si>
    <t>再発防止必要</t>
    <phoneticPr fontId="5"/>
  </si>
  <si>
    <t>KS10233-01a_KS2900-LCD取り付け指示書</t>
    <phoneticPr fontId="5"/>
  </si>
  <si>
    <t>\\192.168.1.201\品質管理\顧客要求管理ツール\添付\230__web 株式会社MonotaRo__社内_その他test分類_test１６０４_堀田_20241206.xlsx|\\192.168.1.201\品質管理\顧客要求管理ツール\添付\テスト230.xlsx|</t>
    <phoneticPr fontId="5"/>
  </si>
  <si>
    <t>AA</t>
    <phoneticPr fontId="5"/>
  </si>
  <si>
    <t>_E241122:h-araki@krone.co.jp&gt;_D241122:h-araki@krone.co.jp&gt;_K241122:h-araki@krone.co.jp&lt;_K241125:h-araki@krone.co.jp&lt;_E241211:h-araki@krone.co.jp&gt;_D241220:h-araki@krone.co.jp&gt;_D241220:h-araki@krone.co.jp&gt;_D241220:h-araki@krone.co.jp&gt;_E250219:masaru-yoshida@krone.co.jp&gt;_E250307:h-araki@krone.co.jp&gt;_E250307:h-araki@krone.co.jp&gt;_E250307:h-araki@krone.co.jp&gt;_E250307:h-araki@krone.co.jp&gt;_D250416:h-araki@krone.co.jp&gt;_E250417:h-araki@krone.co.jp&gt;_D250417:h-araki@krone.co.jp&gt;_E250606:h-araki@krone.co.jp&gt;_E250623:h-araki@krone.co.jp&gt;_E250623:h-araki@krone.co.jp&gt;_K250623:h-araki@krone.co.jp&lt;_K250624:h-araki@krone.co.jp&lt;_K250624:h-araki@krone.co.jp&lt;_K250624:h-araki@krone.co.jp&lt;_K250624:h-araki@krone.co.jp&lt;_E250627:h-araki@krone.co.jp&gt;_E250703:h-araki@krone.co.jp&gt;_K250827:tetsuya-doi@krone.co.jp&lt;_D250905:h-araki@krone.co.jp&gt;_D250905:h-araki@krone.co.jp&gt;_D250905:h-araki@krone.co.jp&gt;</t>
    <phoneticPr fontId="5"/>
  </si>
  <si>
    <t xml:space="preserve"> 1|KS32B-VNNCN,KS3200-100Pa-V-N-N-C-N,123456,1,,,,,|</t>
    <phoneticPr fontId="5"/>
  </si>
  <si>
    <t xml:space="preserve">KS3200-100Pa-V-N-N-C-N
</t>
    <phoneticPr fontId="5"/>
  </si>
  <si>
    <t xml:space="preserve">123456
</t>
    <phoneticPr fontId="5"/>
  </si>
  <si>
    <t>6</t>
    <phoneticPr fontId="5"/>
  </si>
  <si>
    <t>不具合原因と結論</t>
    <rPh sb="0" eb="3">
      <t>フグアイ</t>
    </rPh>
    <rPh sb="3" eb="5">
      <t>ゲンイン</t>
    </rPh>
    <rPh sb="6" eb="8">
      <t>ケツロン</t>
    </rPh>
    <phoneticPr fontId="27"/>
  </si>
  <si>
    <t>不具合対策</t>
    <rPh sb="0" eb="3">
      <t>フグアイ</t>
    </rPh>
    <rPh sb="3" eb="5">
      <t>タイサク</t>
    </rPh>
    <phoneticPr fontId="27"/>
  </si>
  <si>
    <t>002</t>
    <phoneticPr fontId="27"/>
  </si>
  <si>
    <t>2025/10/</t>
    <phoneticPr fontId="5"/>
  </si>
  <si>
    <t>件名</t>
    <phoneticPr fontId="5"/>
  </si>
  <si>
    <t>再発防止計画日</t>
    <rPh sb="0" eb="2">
      <t>サイハツ</t>
    </rPh>
    <rPh sb="2" eb="4">
      <t>ボウシ</t>
    </rPh>
    <rPh sb="4" eb="6">
      <t>ケイカク</t>
    </rPh>
    <rPh sb="6" eb="7">
      <t>ビ</t>
    </rPh>
    <phoneticPr fontId="5"/>
  </si>
  <si>
    <t>承認者</t>
    <rPh sb="0" eb="3">
      <t>ショウニンシャ</t>
    </rPh>
    <phoneticPr fontId="5"/>
  </si>
  <si>
    <t>担当者</t>
    <rPh sb="0" eb="3">
      <t>タントウシャ</t>
    </rPh>
    <phoneticPr fontId="5"/>
  </si>
  <si>
    <t>不具合No</t>
    <rPh sb="0" eb="3">
      <t>フグアイ</t>
    </rPh>
    <phoneticPr fontId="5"/>
  </si>
  <si>
    <t>１．上記を事例として、　再発防止する必要があるのは、どの様な不具合の発生か</t>
    <rPh sb="2" eb="4">
      <t>ジョウキ</t>
    </rPh>
    <rPh sb="5" eb="7">
      <t>ジレイ</t>
    </rPh>
    <phoneticPr fontId="5"/>
  </si>
  <si>
    <t>２．不具合の原因は、どこ・だれ・何、が始まりか</t>
    <phoneticPr fontId="5"/>
  </si>
  <si>
    <t>３．不具合の原因～発生までは、どのような経緯(フロー)か</t>
    <phoneticPr fontId="5"/>
  </si>
  <si>
    <t>４．不具合原因の再発防止は、何をどうするか(計画)</t>
    <phoneticPr fontId="5"/>
  </si>
  <si>
    <t>５．不具合原因～発生に至った経緯の再発防は、何をどうするか(計画)</t>
    <phoneticPr fontId="5"/>
  </si>
  <si>
    <t>上記４．を実施した証拠を添付　　（不具合原因の再発防止）</t>
    <phoneticPr fontId="5"/>
  </si>
  <si>
    <t>上記５．を実施した証拠を添付　　　（不具合原因～発生に至った経緯の再発防止）</t>
    <phoneticPr fontId="5"/>
  </si>
  <si>
    <t>再発防止完了日</t>
    <rPh sb="0" eb="2">
      <t>サイハツ</t>
    </rPh>
    <rPh sb="2" eb="4">
      <t>ボウシ</t>
    </rPh>
    <rPh sb="4" eb="6">
      <t>カンリョウ</t>
    </rPh>
    <rPh sb="6" eb="7">
      <t>ビ</t>
    </rPh>
    <phoneticPr fontId="5"/>
  </si>
  <si>
    <t>製品ｶﾃｺﾞﾘ</t>
    <rPh sb="0" eb="2">
      <t>セイヒン</t>
    </rPh>
    <phoneticPr fontId="28"/>
  </si>
  <si>
    <t>不具合事例</t>
    <phoneticPr fontId="5"/>
  </si>
  <si>
    <t>不具合現象</t>
    <phoneticPr fontId="28"/>
  </si>
  <si>
    <t>kenmei_tx</t>
    <phoneticPr fontId="5"/>
  </si>
  <si>
    <t>hmkmei_tx</t>
    <phoneticPr fontId="5"/>
  </si>
  <si>
    <t>hmkk_tx</t>
    <phoneticPr fontId="5"/>
  </si>
  <si>
    <t>prdtc_st</t>
    <phoneticPr fontId="5"/>
  </si>
  <si>
    <t>acdb_id</t>
    <phoneticPr fontId="5"/>
  </si>
  <si>
    <t>uktkbi_dt</t>
    <phoneticPr fontId="5"/>
  </si>
  <si>
    <t>gnsy_tx＋knjk_tx</t>
    <phoneticPr fontId="5"/>
  </si>
  <si>
    <t>gnin_tx＋ktrn_tx</t>
    <phoneticPr fontId="5"/>
  </si>
  <si>
    <t>tisk_tx</t>
    <phoneticPr fontId="5"/>
  </si>
  <si>
    <t>再発防止タイトル</t>
    <phoneticPr fontId="5"/>
  </si>
  <si>
    <t>再発防止ID</t>
    <phoneticPr fontId="5"/>
  </si>
  <si>
    <t>2025/10/02</t>
    <phoneticPr fontId="5"/>
  </si>
  <si>
    <t>タイとⓇ</t>
    <phoneticPr fontId="5"/>
  </si>
  <si>
    <t>１．</t>
    <phoneticPr fontId="5"/>
  </si>
  <si>
    <t>２．</t>
    <phoneticPr fontId="5"/>
  </si>
  <si>
    <t>３．</t>
    <phoneticPr fontId="5"/>
  </si>
  <si>
    <t>４．</t>
    <phoneticPr fontId="5"/>
  </si>
  <si>
    <t>５．</t>
    <phoneticPr fontId="5"/>
  </si>
  <si>
    <t>確認事項</t>
    <phoneticPr fontId="5"/>
  </si>
  <si>
    <t>注文　520.9H0S03L701　が　３台　に対して、　520.9H0S03L701W　を３台出荷した。
確認事項</t>
    <phoneticPr fontId="5"/>
  </si>
  <si>
    <t>原因
結論</t>
    <phoneticPr fontId="5"/>
  </si>
  <si>
    <t xml:space="preserve">\\192.168.1.201\品質管理\顧客要求管理ツール\添付\230_ec.txt
\\192.168.1.201\品質管理\顧客要求管理ツール\添付\230_KAL200Com.txt
</t>
    <phoneticPr fontId="5"/>
  </si>
  <si>
    <t xml:space="preserve">\\192.168.1.201\品質管理\顧客要求管理ツール\添付\230_ec.txt
\\192.168.1.201\品質管理\顧客要求管理ツール\添付\230_KAL200Com.txt
\\192.168.1.201\品質管理\顧客要求管理ツール\添付\230_form_cntrl.txt
\\192.168.1.201\品質管理\顧客要求管理ツール\添付\230_KPC300Com.txt
</t>
    <phoneticPr fontId="5"/>
  </si>
</sst>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76" formatCode="yyyy/m/d;@"/>
    <numFmt numFmtId="177" formatCode="yyyy/m/d\ h:mm;@"/>
    <numFmt numFmtId="178" formatCode="yy\.mm\.dd"/>
  </numFmts>
  <fonts count="40">
    <font>
      <sz val="11"/>
      <color theme="1"/>
      <name val="游ゴシック"/>
      <family val="2"/>
      <charset val="128"/>
      <scheme val="minor"/>
    </font>
    <font>
      <sz val="11"/>
      <color theme="1"/>
      <name val="ＭＳ Ｐゴシック"/>
      <family val="2"/>
      <charset val="128"/>
    </font>
    <font>
      <sz val="11"/>
      <color theme="1"/>
      <name val="ＭＳ Ｐゴシック"/>
      <family val="2"/>
      <charset val="128"/>
    </font>
    <font>
      <sz val="11"/>
      <color theme="1"/>
      <name val="ＭＳ Ｐゴシック"/>
      <family val="2"/>
      <charset val="128"/>
    </font>
    <font>
      <sz val="11"/>
      <color theme="1"/>
      <name val="ＭＳ Ｐゴシック"/>
      <family val="2"/>
      <charset val="128"/>
    </font>
    <font>
      <sz val="6"/>
      <name val="游ゴシック"/>
      <family val="2"/>
      <charset val="128"/>
      <scheme val="minor"/>
    </font>
    <font>
      <sz val="11"/>
      <color theme="1"/>
      <name val="ＭＳ Ｐゴシック"/>
      <family val="3"/>
      <charset val="128"/>
    </font>
    <font>
      <b/>
      <sz val="22"/>
      <color rgb="FF000000"/>
      <name val="HGS創英角ﾎﾟｯﾌﾟ体"/>
      <family val="3"/>
      <charset val="128"/>
    </font>
    <font>
      <sz val="9"/>
      <color theme="1"/>
      <name val="游ゴシック"/>
      <family val="2"/>
      <charset val="128"/>
      <scheme val="minor"/>
    </font>
    <font>
      <b/>
      <sz val="11"/>
      <color theme="1"/>
      <name val="ＭＳ Ｐゴシック"/>
      <family val="3"/>
      <charset val="128"/>
    </font>
    <font>
      <sz val="11"/>
      <name val="ＭＳ Ｐゴシック"/>
      <family val="3"/>
      <charset val="128"/>
    </font>
    <font>
      <b/>
      <sz val="10"/>
      <color theme="1"/>
      <name val="ＭＳ Ｐゴシック"/>
      <family val="3"/>
      <charset val="128"/>
    </font>
    <font>
      <b/>
      <sz val="11"/>
      <color rgb="FF0000FF"/>
      <name val="ＭＳ Ｐゴシック"/>
      <family val="3"/>
      <charset val="128"/>
    </font>
    <font>
      <b/>
      <sz val="11"/>
      <color rgb="FFFF0000"/>
      <name val="ＭＳ Ｐゴシック"/>
      <family val="3"/>
      <charset val="128"/>
    </font>
    <font>
      <sz val="10"/>
      <color theme="1"/>
      <name val="ＭＳ Ｐゴシック"/>
      <family val="3"/>
      <charset val="128"/>
    </font>
    <font>
      <sz val="11"/>
      <color rgb="FFFF0000"/>
      <name val="ＭＳ Ｐゴシック"/>
      <family val="3"/>
      <charset val="128"/>
    </font>
    <font>
      <strike/>
      <sz val="9"/>
      <color theme="1"/>
      <name val="游ゴシック"/>
      <family val="3"/>
      <charset val="128"/>
      <scheme val="minor"/>
    </font>
    <font>
      <sz val="9"/>
      <color theme="1"/>
      <name val="游ゴシック"/>
      <family val="3"/>
      <charset val="128"/>
      <scheme val="minor"/>
    </font>
    <font>
      <strike/>
      <sz val="11"/>
      <color theme="1"/>
      <name val="游ゴシック"/>
      <family val="3"/>
      <charset val="128"/>
      <scheme val="minor"/>
    </font>
    <font>
      <sz val="11"/>
      <color theme="1"/>
      <name val="游ゴシック"/>
      <family val="3"/>
      <charset val="128"/>
      <scheme val="minor"/>
    </font>
    <font>
      <sz val="9"/>
      <color rgb="FF333333"/>
      <name val="ＭＳ Ｐゴシック"/>
      <family val="3"/>
      <charset val="128"/>
    </font>
    <font>
      <sz val="9"/>
      <color rgb="FF333333"/>
      <name val="Consolas"/>
      <family val="3"/>
    </font>
    <font>
      <u/>
      <sz val="11"/>
      <color theme="10"/>
      <name val="游ゴシック"/>
      <family val="2"/>
      <charset val="128"/>
      <scheme val="minor"/>
    </font>
    <font>
      <sz val="9"/>
      <color theme="1"/>
      <name val="ＭＳ Ｐゴシック"/>
      <family val="3"/>
      <charset val="128"/>
    </font>
    <font>
      <b/>
      <sz val="9"/>
      <color rgb="FFFF0000"/>
      <name val="ＭＳ Ｐゴシック"/>
      <family val="3"/>
      <charset val="128"/>
    </font>
    <font>
      <b/>
      <sz val="11"/>
      <color theme="1"/>
      <name val="游ゴシック"/>
      <family val="2"/>
      <charset val="128"/>
      <scheme val="minor"/>
    </font>
    <font>
      <sz val="11"/>
      <color theme="1"/>
      <name val="游ゴシック"/>
      <family val="2"/>
      <charset val="128"/>
      <scheme val="minor"/>
    </font>
    <font>
      <sz val="6"/>
      <name val="ＭＳ Ｐゴシック"/>
      <family val="2"/>
      <charset val="128"/>
    </font>
    <font>
      <sz val="6"/>
      <name val="ＭＳ Ｐゴシック"/>
      <family val="3"/>
      <charset val="128"/>
    </font>
    <font>
      <sz val="11"/>
      <name val="游ゴシック"/>
      <family val="2"/>
      <charset val="128"/>
      <scheme val="minor"/>
    </font>
    <font>
      <sz val="11"/>
      <name val="ＭＳ Ｐゴシック"/>
      <family val="2"/>
      <charset val="128"/>
    </font>
    <font>
      <sz val="20"/>
      <name val="ＭＳ Ｐゴシック"/>
      <family val="3"/>
      <charset val="128"/>
    </font>
    <font>
      <sz val="14"/>
      <name val="ＭＳ Ｐゴシック"/>
      <family val="3"/>
      <charset val="128"/>
    </font>
    <font>
      <sz val="10"/>
      <color theme="1"/>
      <name val="Arial Unicode MS"/>
      <family val="2"/>
    </font>
    <font>
      <b/>
      <sz val="13.5"/>
      <color theme="1"/>
      <name val="游ゴシック"/>
      <family val="3"/>
      <charset val="128"/>
      <scheme val="minor"/>
    </font>
    <font>
      <b/>
      <sz val="12"/>
      <name val="ＭＳ Ｐゴシック"/>
      <family val="3"/>
      <charset val="128"/>
    </font>
    <font>
      <b/>
      <sz val="12"/>
      <color theme="1"/>
      <name val="游ゴシック"/>
      <family val="2"/>
      <charset val="128"/>
      <scheme val="minor"/>
    </font>
    <font>
      <sz val="12"/>
      <color theme="1"/>
      <name val="游ゴシック"/>
      <family val="2"/>
      <charset val="128"/>
      <scheme val="minor"/>
    </font>
    <font>
      <b/>
      <sz val="14"/>
      <color theme="1"/>
      <name val="游ゴシック"/>
      <family val="3"/>
      <charset val="128"/>
      <scheme val="minor"/>
    </font>
    <font>
      <sz val="12"/>
      <name val="ＭＳ Ｐゴシック"/>
      <family val="3"/>
      <charset val="128"/>
    </font>
  </fonts>
  <fills count="14">
    <fill>
      <patternFill patternType="none"/>
    </fill>
    <fill>
      <patternFill patternType="gray125"/>
    </fill>
    <fill>
      <patternFill patternType="solid">
        <fgColor theme="0" tint="-0.14999847407452621"/>
        <bgColor indexed="64"/>
      </patternFill>
    </fill>
    <fill>
      <patternFill patternType="solid">
        <fgColor rgb="FF66FFFF"/>
        <bgColor indexed="64"/>
      </patternFill>
    </fill>
    <fill>
      <patternFill patternType="solid">
        <fgColor rgb="FFFFFF66"/>
        <bgColor indexed="64"/>
      </patternFill>
    </fill>
    <fill>
      <patternFill patternType="solid">
        <fgColor theme="0" tint="-0.249977111117893"/>
        <bgColor indexed="64"/>
      </patternFill>
    </fill>
    <fill>
      <patternFill patternType="solid">
        <fgColor rgb="FFFFFF00"/>
        <bgColor indexed="64"/>
      </patternFill>
    </fill>
    <fill>
      <patternFill patternType="solid">
        <fgColor rgb="FFFFFFCC"/>
        <bgColor indexed="64"/>
      </patternFill>
    </fill>
    <fill>
      <patternFill patternType="solid">
        <fgColor theme="0" tint="-4.9989318521683403E-2"/>
        <bgColor indexed="64"/>
      </patternFill>
    </fill>
    <fill>
      <patternFill patternType="solid">
        <fgColor theme="5" tint="0.59999389629810485"/>
        <bgColor indexed="64"/>
      </patternFill>
    </fill>
    <fill>
      <patternFill patternType="solid">
        <fgColor theme="7" tint="0.59999389629810485"/>
        <bgColor indexed="64"/>
      </patternFill>
    </fill>
    <fill>
      <patternFill patternType="solid">
        <fgColor theme="0" tint="-0.34998626667073579"/>
        <bgColor indexed="64"/>
      </patternFill>
    </fill>
    <fill>
      <patternFill patternType="solid">
        <fgColor rgb="FF99FF99"/>
        <bgColor indexed="64"/>
      </patternFill>
    </fill>
    <fill>
      <patternFill patternType="solid">
        <fgColor theme="8" tint="0.39997558519241921"/>
        <bgColor indexed="64"/>
      </patternFill>
    </fill>
  </fills>
  <borders count="38">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thin">
        <color indexed="64"/>
      </right>
      <top/>
      <bottom style="thin">
        <color indexed="64"/>
      </bottom>
      <diagonal/>
    </border>
    <border>
      <left/>
      <right style="thin">
        <color indexed="64"/>
      </right>
      <top style="thin">
        <color indexed="64"/>
      </top>
      <bottom/>
      <diagonal/>
    </border>
    <border>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style="thin">
        <color indexed="64"/>
      </top>
      <bottom/>
      <diagonal/>
    </border>
    <border>
      <left/>
      <right/>
      <top style="thin">
        <color indexed="64"/>
      </top>
      <bottom/>
      <diagonal/>
    </border>
    <border>
      <left/>
      <right/>
      <top/>
      <bottom style="thin">
        <color indexed="64"/>
      </bottom>
      <diagonal/>
    </border>
    <border>
      <left/>
      <right style="medium">
        <color indexed="64"/>
      </right>
      <top style="thin">
        <color indexed="64"/>
      </top>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thin">
        <color indexed="64"/>
      </left>
      <right/>
      <top style="thin">
        <color indexed="64"/>
      </top>
      <bottom/>
      <diagonal/>
    </border>
    <border>
      <left style="thin">
        <color indexed="64"/>
      </left>
      <right/>
      <top/>
      <bottom/>
      <diagonal/>
    </border>
    <border>
      <left style="thick">
        <color rgb="FFFF0000"/>
      </left>
      <right style="thick">
        <color rgb="FFFF0000"/>
      </right>
      <top style="thick">
        <color rgb="FFFF0000"/>
      </top>
      <bottom style="thick">
        <color rgb="FFFF0000"/>
      </bottom>
      <diagonal/>
    </border>
    <border>
      <left style="thick">
        <color rgb="FFFF0000"/>
      </left>
      <right style="thick">
        <color rgb="FFFF0000"/>
      </right>
      <top style="thick">
        <color rgb="FFFF0000"/>
      </top>
      <bottom/>
      <diagonal/>
    </border>
    <border>
      <left style="thick">
        <color rgb="FFFF0000"/>
      </left>
      <right style="thick">
        <color rgb="FFFF0000"/>
      </right>
      <top/>
      <bottom style="thick">
        <color rgb="FFFF0000"/>
      </bottom>
      <diagonal/>
    </border>
    <border>
      <left/>
      <right style="thin">
        <color indexed="64"/>
      </right>
      <top/>
      <bottom/>
      <diagonal/>
    </border>
    <border>
      <left style="thin">
        <color indexed="64"/>
      </left>
      <right/>
      <top/>
      <bottom style="thin">
        <color indexed="64"/>
      </bottom>
      <diagonal/>
    </border>
  </borders>
  <cellStyleXfs count="8">
    <xf numFmtId="0" fontId="0" fillId="0" borderId="0">
      <alignment vertical="center"/>
    </xf>
    <xf numFmtId="0" fontId="4" fillId="0" borderId="0">
      <alignment vertical="center"/>
    </xf>
    <xf numFmtId="0" fontId="3" fillId="0" borderId="0">
      <alignment vertical="center"/>
    </xf>
    <xf numFmtId="0" fontId="2" fillId="0" borderId="0">
      <alignment vertical="center"/>
    </xf>
    <xf numFmtId="0" fontId="22" fillId="0" borderId="0" applyNumberFormat="0" applyFill="0" applyBorder="0" applyAlignment="0" applyProtection="0">
      <alignment vertical="center"/>
    </xf>
    <xf numFmtId="0" fontId="26" fillId="0" borderId="0">
      <alignment vertical="center"/>
    </xf>
    <xf numFmtId="0" fontId="1" fillId="0" borderId="0">
      <alignment vertical="center"/>
    </xf>
    <xf numFmtId="0" fontId="10" fillId="0" borderId="0"/>
  </cellStyleXfs>
  <cellXfs count="316">
    <xf numFmtId="0" fontId="0" fillId="0" borderId="0" xfId="0">
      <alignment vertical="center"/>
    </xf>
    <xf numFmtId="0" fontId="6" fillId="0" borderId="0" xfId="0" applyFont="1">
      <alignment vertical="center"/>
    </xf>
    <xf numFmtId="0" fontId="0" fillId="0" borderId="0" xfId="0" applyAlignment="1">
      <alignment vertical="center" wrapText="1"/>
    </xf>
    <xf numFmtId="0" fontId="20" fillId="0" borderId="0" xfId="0" applyFont="1" applyAlignment="1">
      <alignment horizontal="left" vertical="center"/>
    </xf>
    <xf numFmtId="0" fontId="8" fillId="0" borderId="0" xfId="0" applyFont="1">
      <alignment vertical="center"/>
    </xf>
    <xf numFmtId="0" fontId="21" fillId="0" borderId="0" xfId="0" applyFont="1" applyAlignment="1">
      <alignment horizontal="left" vertical="center"/>
    </xf>
    <xf numFmtId="0" fontId="8" fillId="9" borderId="0" xfId="0" applyFont="1" applyFill="1">
      <alignment vertical="center"/>
    </xf>
    <xf numFmtId="0" fontId="8" fillId="10" borderId="0" xfId="0" applyFont="1" applyFill="1">
      <alignment vertical="center"/>
    </xf>
    <xf numFmtId="3" fontId="8" fillId="0" borderId="0" xfId="0" applyNumberFormat="1" applyFont="1">
      <alignment vertical="center"/>
    </xf>
    <xf numFmtId="17" fontId="8" fillId="0" borderId="0" xfId="0" applyNumberFormat="1" applyFont="1">
      <alignment vertical="center"/>
    </xf>
    <xf numFmtId="14" fontId="0" fillId="0" borderId="0" xfId="0" applyNumberFormat="1" applyAlignment="1">
      <alignment vertical="center" wrapText="1"/>
    </xf>
    <xf numFmtId="0" fontId="6" fillId="0" borderId="0" xfId="0" applyFont="1" applyProtection="1">
      <alignment vertical="center"/>
      <protection locked="0"/>
    </xf>
    <xf numFmtId="0" fontId="9" fillId="0" borderId="0" xfId="0" applyFont="1" applyProtection="1">
      <alignment vertical="center"/>
      <protection locked="0"/>
    </xf>
    <xf numFmtId="0" fontId="6" fillId="0" borderId="0" xfId="0" quotePrefix="1" applyFont="1" applyAlignment="1" applyProtection="1">
      <alignment horizontal="center" vertical="center"/>
      <protection locked="0"/>
    </xf>
    <xf numFmtId="0" fontId="14" fillId="0" borderId="0" xfId="0" applyFont="1" applyProtection="1">
      <alignment vertical="center"/>
      <protection locked="0"/>
    </xf>
    <xf numFmtId="0" fontId="9" fillId="0" borderId="9" xfId="0" applyFont="1" applyBorder="1" applyProtection="1">
      <alignment vertical="center"/>
      <protection locked="0"/>
    </xf>
    <xf numFmtId="0" fontId="6" fillId="0" borderId="10" xfId="0" applyFont="1" applyBorder="1" applyProtection="1">
      <alignment vertical="center"/>
      <protection locked="0"/>
    </xf>
    <xf numFmtId="0" fontId="6" fillId="0" borderId="10" xfId="0" applyFont="1" applyBorder="1" applyAlignment="1" applyProtection="1">
      <alignment horizontal="right" vertical="center"/>
      <protection locked="0"/>
    </xf>
    <xf numFmtId="0" fontId="6" fillId="0" borderId="0" xfId="0" applyFont="1" applyAlignment="1" applyProtection="1">
      <alignment horizontal="center" vertical="center"/>
      <protection locked="0"/>
    </xf>
    <xf numFmtId="0" fontId="6" fillId="0" borderId="12" xfId="0" applyFont="1" applyBorder="1" applyProtection="1">
      <alignment vertical="center"/>
      <protection locked="0"/>
    </xf>
    <xf numFmtId="0" fontId="6" fillId="0" borderId="13" xfId="0" applyFont="1" applyBorder="1" applyProtection="1">
      <alignment vertical="center"/>
      <protection locked="0"/>
    </xf>
    <xf numFmtId="56" fontId="6" fillId="0" borderId="12" xfId="0" quotePrefix="1" applyNumberFormat="1" applyFont="1" applyBorder="1" applyProtection="1">
      <alignment vertical="center"/>
      <protection locked="0"/>
    </xf>
    <xf numFmtId="0" fontId="6" fillId="0" borderId="14" xfId="0" applyFont="1" applyBorder="1" applyProtection="1">
      <alignment vertical="center"/>
      <protection locked="0"/>
    </xf>
    <xf numFmtId="0" fontId="6" fillId="0" borderId="8" xfId="0" applyFont="1" applyBorder="1" applyProtection="1">
      <alignment vertical="center"/>
      <protection locked="0"/>
    </xf>
    <xf numFmtId="0" fontId="6" fillId="0" borderId="0" xfId="0" applyFont="1" applyAlignment="1" applyProtection="1">
      <alignment horizontal="right" vertical="center" indent="1"/>
      <protection locked="0"/>
    </xf>
    <xf numFmtId="0" fontId="6" fillId="0" borderId="7" xfId="0" applyFont="1" applyBorder="1" applyProtection="1">
      <alignment vertical="center"/>
      <protection locked="0"/>
    </xf>
    <xf numFmtId="0" fontId="9" fillId="0" borderId="12" xfId="0" applyFont="1" applyBorder="1" applyProtection="1">
      <alignment vertical="center"/>
      <protection locked="0"/>
    </xf>
    <xf numFmtId="0" fontId="6" fillId="0" borderId="0" xfId="0" applyFont="1" applyAlignment="1" applyProtection="1">
      <alignment horizontal="right" vertical="center"/>
      <protection locked="0"/>
    </xf>
    <xf numFmtId="0" fontId="15" fillId="0" borderId="0" xfId="0" applyFont="1" applyAlignment="1" applyProtection="1">
      <alignment horizontal="center" vertical="center"/>
      <protection locked="0"/>
    </xf>
    <xf numFmtId="0" fontId="10" fillId="0" borderId="0" xfId="0" applyFont="1" applyAlignment="1" applyProtection="1">
      <alignment horizontal="center" vertical="center"/>
      <protection locked="0"/>
    </xf>
    <xf numFmtId="0" fontId="15" fillId="0" borderId="0" xfId="0" quotePrefix="1" applyFont="1" applyAlignment="1" applyProtection="1">
      <alignment horizontal="center" vertical="center"/>
      <protection locked="0"/>
    </xf>
    <xf numFmtId="0" fontId="6" fillId="0" borderId="0" xfId="0" applyFont="1" applyAlignment="1" applyProtection="1">
      <alignment horizontal="left" vertical="center" indent="1"/>
      <protection locked="0"/>
    </xf>
    <xf numFmtId="56" fontId="14" fillId="0" borderId="0" xfId="0" quotePrefix="1" applyNumberFormat="1" applyFont="1" applyAlignment="1" applyProtection="1">
      <alignment horizontal="right" vertical="center"/>
      <protection locked="0"/>
    </xf>
    <xf numFmtId="0" fontId="0" fillId="2" borderId="1" xfId="0" applyFill="1" applyBorder="1" applyAlignment="1">
      <alignment vertical="center" wrapText="1"/>
    </xf>
    <xf numFmtId="0" fontId="0" fillId="2" borderId="0" xfId="0" applyFill="1" applyAlignment="1">
      <alignment vertical="center" wrapText="1"/>
    </xf>
    <xf numFmtId="0" fontId="0" fillId="0" borderId="1" xfId="0" applyBorder="1" applyAlignment="1" applyProtection="1">
      <alignment vertical="center" wrapText="1"/>
      <protection locked="0"/>
    </xf>
    <xf numFmtId="0" fontId="0" fillId="0" borderId="0" xfId="0" applyAlignment="1" applyProtection="1">
      <alignment vertical="center" wrapText="1"/>
      <protection locked="0"/>
    </xf>
    <xf numFmtId="0" fontId="6" fillId="0" borderId="1" xfId="0" quotePrefix="1" applyFont="1" applyBorder="1" applyAlignment="1" applyProtection="1">
      <alignment vertical="center" wrapText="1"/>
      <protection locked="0"/>
    </xf>
    <xf numFmtId="0" fontId="6" fillId="0" borderId="1" xfId="0" applyFont="1" applyBorder="1" applyAlignment="1" applyProtection="1">
      <alignment vertical="center" wrapText="1"/>
      <protection locked="0"/>
    </xf>
    <xf numFmtId="0" fontId="0" fillId="0" borderId="1" xfId="0" quotePrefix="1" applyBorder="1" applyProtection="1">
      <alignment vertical="center"/>
      <protection locked="0"/>
    </xf>
    <xf numFmtId="0" fontId="8" fillId="0" borderId="1" xfId="0" applyFont="1" applyBorder="1" applyAlignment="1" applyProtection="1">
      <alignment vertical="top" wrapText="1"/>
      <protection locked="0"/>
    </xf>
    <xf numFmtId="14" fontId="8" fillId="0" borderId="1" xfId="0" applyNumberFormat="1" applyFont="1" applyBorder="1" applyAlignment="1" applyProtection="1">
      <alignment vertical="top" wrapText="1"/>
      <protection locked="0"/>
    </xf>
    <xf numFmtId="0" fontId="8" fillId="0" borderId="1" xfId="0" quotePrefix="1" applyFont="1" applyBorder="1" applyAlignment="1" applyProtection="1">
      <alignment vertical="top" wrapText="1"/>
      <protection locked="0"/>
    </xf>
    <xf numFmtId="0" fontId="0" fillId="0" borderId="1" xfId="0" quotePrefix="1" applyBorder="1" applyAlignment="1" applyProtection="1">
      <alignment vertical="top" wrapText="1"/>
      <protection locked="0"/>
    </xf>
    <xf numFmtId="14" fontId="8" fillId="0" borderId="1" xfId="0" quotePrefix="1" applyNumberFormat="1" applyFont="1" applyBorder="1" applyAlignment="1" applyProtection="1">
      <alignment vertical="top" wrapText="1"/>
      <protection locked="0"/>
    </xf>
    <xf numFmtId="0" fontId="0" fillId="6" borderId="1" xfId="0" quotePrefix="1" applyFill="1" applyBorder="1" applyAlignment="1" applyProtection="1">
      <alignment vertical="top" wrapText="1"/>
      <protection locked="0"/>
    </xf>
    <xf numFmtId="0" fontId="6" fillId="0" borderId="0" xfId="0" applyFont="1" applyAlignment="1">
      <alignment vertical="center" wrapText="1"/>
    </xf>
    <xf numFmtId="0" fontId="0" fillId="2" borderId="1" xfId="0" applyFill="1" applyBorder="1" applyAlignment="1">
      <alignment vertical="top" wrapText="1"/>
    </xf>
    <xf numFmtId="0" fontId="0" fillId="2" borderId="1" xfId="0" applyFill="1" applyBorder="1">
      <alignment vertical="center"/>
    </xf>
    <xf numFmtId="0" fontId="0" fillId="0" borderId="15" xfId="0" applyBorder="1" applyProtection="1">
      <alignment vertical="center"/>
      <protection locked="0"/>
    </xf>
    <xf numFmtId="0" fontId="0" fillId="0" borderId="5" xfId="0" applyBorder="1" applyProtection="1">
      <alignment vertical="center"/>
      <protection locked="0"/>
    </xf>
    <xf numFmtId="0" fontId="0" fillId="0" borderId="2" xfId="0" applyBorder="1" applyProtection="1">
      <alignment vertical="center"/>
      <protection locked="0"/>
    </xf>
    <xf numFmtId="0" fontId="0" fillId="0" borderId="1" xfId="0" applyBorder="1" applyProtection="1">
      <alignment vertical="center"/>
      <protection locked="0"/>
    </xf>
    <xf numFmtId="0" fontId="0" fillId="0" borderId="0" xfId="0" applyProtection="1">
      <alignment vertical="center"/>
      <protection locked="0"/>
    </xf>
    <xf numFmtId="0" fontId="0" fillId="2" borderId="0" xfId="0" applyFill="1" applyProtection="1">
      <alignment vertical="center"/>
      <protection locked="0"/>
    </xf>
    <xf numFmtId="0" fontId="0" fillId="2" borderId="0" xfId="0" applyFill="1" applyAlignment="1" applyProtection="1">
      <alignment vertical="center" wrapText="1"/>
      <protection locked="0"/>
    </xf>
    <xf numFmtId="176" fontId="0" fillId="0" borderId="0" xfId="0" applyNumberFormat="1" applyAlignment="1">
      <alignment vertical="center" wrapText="1"/>
    </xf>
    <xf numFmtId="177" fontId="0" fillId="0" borderId="0" xfId="0" applyNumberFormat="1" applyAlignment="1">
      <alignment vertical="center" wrapText="1"/>
    </xf>
    <xf numFmtId="0" fontId="22" fillId="0" borderId="1" xfId="4" applyFill="1" applyBorder="1" applyAlignment="1" applyProtection="1">
      <alignment vertical="top" wrapText="1"/>
      <protection locked="0"/>
    </xf>
    <xf numFmtId="0" fontId="22" fillId="0" borderId="1" xfId="4" applyFill="1" applyBorder="1" applyAlignment="1" applyProtection="1">
      <alignment vertical="center" wrapText="1"/>
      <protection locked="0"/>
    </xf>
    <xf numFmtId="0" fontId="22" fillId="0" borderId="0" xfId="4" applyAlignment="1" applyProtection="1">
      <alignment vertical="top" wrapText="1"/>
      <protection locked="0"/>
    </xf>
    <xf numFmtId="0" fontId="0" fillId="0" borderId="1" xfId="0" applyBorder="1" applyAlignment="1" applyProtection="1">
      <alignment vertical="top" wrapText="1"/>
      <protection locked="0"/>
    </xf>
    <xf numFmtId="0" fontId="6" fillId="0" borderId="0" xfId="0" applyFont="1" applyAlignment="1">
      <alignment horizontal="left" vertical="center"/>
    </xf>
    <xf numFmtId="0" fontId="14" fillId="0" borderId="0" xfId="0" applyFont="1" applyAlignment="1">
      <alignment horizontal="left" vertical="center"/>
    </xf>
    <xf numFmtId="0" fontId="6" fillId="0" borderId="0" xfId="0" applyFont="1" applyAlignment="1">
      <alignment horizontal="left" vertical="center" indent="1"/>
    </xf>
    <xf numFmtId="0" fontId="11" fillId="0" borderId="0" xfId="0" applyFont="1">
      <alignment vertical="center"/>
    </xf>
    <xf numFmtId="0" fontId="9" fillId="2" borderId="1" xfId="0" applyFont="1" applyFill="1" applyBorder="1" applyAlignment="1">
      <alignment horizontal="center" vertical="center"/>
    </xf>
    <xf numFmtId="0" fontId="9" fillId="0" borderId="0" xfId="0" applyFont="1" applyAlignment="1">
      <alignment horizontal="center" vertical="center"/>
    </xf>
    <xf numFmtId="0" fontId="6" fillId="0" borderId="0" xfId="0" applyFont="1" applyAlignment="1">
      <alignment horizontal="center" vertical="center"/>
    </xf>
    <xf numFmtId="0" fontId="6" fillId="0" borderId="1" xfId="0" applyFont="1" applyBorder="1">
      <alignment vertical="center"/>
    </xf>
    <xf numFmtId="0" fontId="14" fillId="0" borderId="0" xfId="0" applyFont="1" applyAlignment="1">
      <alignment horizontal="right" vertical="center"/>
    </xf>
    <xf numFmtId="0" fontId="0" fillId="0" borderId="1" xfId="0" applyBorder="1">
      <alignment vertical="center"/>
    </xf>
    <xf numFmtId="0" fontId="0" fillId="9" borderId="1" xfId="0" applyFill="1" applyBorder="1">
      <alignment vertical="center"/>
    </xf>
    <xf numFmtId="0" fontId="0" fillId="9" borderId="0" xfId="0" applyFill="1">
      <alignment vertical="center"/>
    </xf>
    <xf numFmtId="0" fontId="17" fillId="3" borderId="1" xfId="0" applyFont="1" applyFill="1" applyBorder="1" applyAlignment="1">
      <alignment vertical="top" wrapText="1"/>
    </xf>
    <xf numFmtId="0" fontId="8" fillId="3" borderId="1" xfId="0" applyFont="1" applyFill="1" applyBorder="1" applyAlignment="1">
      <alignment vertical="top" wrapText="1"/>
    </xf>
    <xf numFmtId="0" fontId="19" fillId="3" borderId="1" xfId="0" applyFont="1" applyFill="1" applyBorder="1" applyAlignment="1">
      <alignment vertical="top" wrapText="1"/>
    </xf>
    <xf numFmtId="0" fontId="19" fillId="9" borderId="1" xfId="0" applyFont="1" applyFill="1" applyBorder="1" applyAlignment="1">
      <alignment vertical="top" wrapText="1"/>
    </xf>
    <xf numFmtId="0" fontId="0" fillId="3" borderId="1" xfId="0" applyFill="1" applyBorder="1" applyAlignment="1">
      <alignment vertical="top" wrapText="1"/>
    </xf>
    <xf numFmtId="0" fontId="0" fillId="9" borderId="1" xfId="0" applyFill="1" applyBorder="1" applyAlignment="1">
      <alignment vertical="top" wrapText="1"/>
    </xf>
    <xf numFmtId="0" fontId="0" fillId="4" borderId="1" xfId="0" applyFill="1" applyBorder="1" applyAlignment="1">
      <alignment vertical="top" wrapText="1"/>
    </xf>
    <xf numFmtId="0" fontId="0" fillId="4" borderId="1" xfId="0" quotePrefix="1" applyFill="1" applyBorder="1" applyAlignment="1">
      <alignment vertical="top" wrapText="1"/>
    </xf>
    <xf numFmtId="0" fontId="6" fillId="5" borderId="1" xfId="0" applyFont="1" applyFill="1" applyBorder="1">
      <alignment vertical="center"/>
    </xf>
    <xf numFmtId="177" fontId="6" fillId="0" borderId="1" xfId="0" quotePrefix="1" applyNumberFormat="1" applyFont="1" applyBorder="1" applyAlignment="1" applyProtection="1">
      <alignment vertical="center" wrapText="1"/>
      <protection locked="0"/>
    </xf>
    <xf numFmtId="177" fontId="6" fillId="0" borderId="1" xfId="0" applyNumberFormat="1" applyFont="1" applyBorder="1" applyAlignment="1" applyProtection="1">
      <alignment vertical="center" wrapText="1"/>
      <protection locked="0"/>
    </xf>
    <xf numFmtId="0" fontId="9" fillId="2" borderId="1" xfId="0" applyFont="1" applyFill="1" applyBorder="1" applyAlignment="1">
      <alignment vertical="center" shrinkToFit="1"/>
    </xf>
    <xf numFmtId="0" fontId="9" fillId="2" borderId="22" xfId="0" applyFont="1" applyFill="1" applyBorder="1" applyAlignment="1">
      <alignment horizontal="center" vertical="center"/>
    </xf>
    <xf numFmtId="56" fontId="9" fillId="0" borderId="0" xfId="0" quotePrefix="1" applyNumberFormat="1" applyFont="1" applyAlignment="1">
      <alignment horizontal="right" vertical="center"/>
    </xf>
    <xf numFmtId="0" fontId="6" fillId="0" borderId="31" xfId="0" applyFont="1" applyBorder="1">
      <alignment vertical="center"/>
    </xf>
    <xf numFmtId="0" fontId="6" fillId="0" borderId="24" xfId="0" applyFont="1" applyBorder="1">
      <alignment vertical="center"/>
    </xf>
    <xf numFmtId="0" fontId="6" fillId="0" borderId="32" xfId="0" applyFont="1" applyBorder="1">
      <alignment vertical="center"/>
    </xf>
    <xf numFmtId="0" fontId="13" fillId="0" borderId="34" xfId="0" applyFont="1" applyBorder="1" applyAlignment="1">
      <alignment horizontal="center" vertical="center"/>
    </xf>
    <xf numFmtId="178" fontId="24" fillId="0" borderId="33" xfId="0" applyNumberFormat="1" applyFont="1" applyBorder="1" applyAlignment="1">
      <alignment horizontal="center" vertical="center"/>
    </xf>
    <xf numFmtId="0" fontId="13" fillId="0" borderId="35" xfId="0" applyFont="1" applyBorder="1" applyAlignment="1">
      <alignment horizontal="center" vertical="center" shrinkToFit="1"/>
    </xf>
    <xf numFmtId="0" fontId="11" fillId="7" borderId="0" xfId="0" applyFont="1" applyFill="1" applyAlignment="1">
      <alignment horizontal="left" vertical="center"/>
    </xf>
    <xf numFmtId="0" fontId="9" fillId="7" borderId="0" xfId="0" applyFont="1" applyFill="1" applyAlignment="1">
      <alignment horizontal="left" vertical="center"/>
    </xf>
    <xf numFmtId="0" fontId="6" fillId="7" borderId="0" xfId="0" applyFont="1" applyFill="1" applyAlignment="1">
      <alignment horizontal="left" vertical="center"/>
    </xf>
    <xf numFmtId="0" fontId="12" fillId="7" borderId="0" xfId="0" applyFont="1" applyFill="1" applyAlignment="1">
      <alignment horizontal="left" vertical="center"/>
    </xf>
    <xf numFmtId="0" fontId="13" fillId="0" borderId="0" xfId="0" applyFont="1" applyAlignment="1">
      <alignment horizontal="left" vertical="center"/>
    </xf>
    <xf numFmtId="0" fontId="6" fillId="0" borderId="0" xfId="0" applyFont="1" applyAlignment="1">
      <alignment vertical="top"/>
    </xf>
    <xf numFmtId="14" fontId="6" fillId="0" borderId="0" xfId="0" applyNumberFormat="1" applyFont="1" applyProtection="1">
      <alignment vertical="center"/>
      <protection locked="0"/>
    </xf>
    <xf numFmtId="14" fontId="6" fillId="0" borderId="7" xfId="0" applyNumberFormat="1" applyFont="1" applyBorder="1" applyProtection="1">
      <alignment vertical="center"/>
      <protection locked="0"/>
    </xf>
    <xf numFmtId="14" fontId="6" fillId="0" borderId="0" xfId="0" applyNumberFormat="1" applyFont="1" applyAlignment="1" applyProtection="1">
      <alignment horizontal="right" vertical="center"/>
      <protection locked="0"/>
    </xf>
    <xf numFmtId="14" fontId="6" fillId="0" borderId="0" xfId="0" quotePrefix="1" applyNumberFormat="1" applyFont="1" applyAlignment="1" applyProtection="1">
      <alignment horizontal="center" vertical="center"/>
      <protection locked="0"/>
    </xf>
    <xf numFmtId="14" fontId="6" fillId="0" borderId="10" xfId="0" applyNumberFormat="1" applyFont="1" applyBorder="1" applyAlignment="1" applyProtection="1">
      <alignment horizontal="right" vertical="center"/>
      <protection locked="0"/>
    </xf>
    <xf numFmtId="14" fontId="6" fillId="0" borderId="0" xfId="0" applyNumberFormat="1" applyFont="1" applyAlignment="1" applyProtection="1">
      <alignment horizontal="center" vertical="center"/>
      <protection locked="0"/>
    </xf>
    <xf numFmtId="14" fontId="6" fillId="0" borderId="0" xfId="0" applyNumberFormat="1" applyFont="1">
      <alignment vertical="center"/>
    </xf>
    <xf numFmtId="14" fontId="6" fillId="0" borderId="1" xfId="0" applyNumberFormat="1" applyFont="1" applyBorder="1" applyAlignment="1" applyProtection="1">
      <alignment vertical="top"/>
      <protection locked="0"/>
    </xf>
    <xf numFmtId="0" fontId="9" fillId="2" borderId="1" xfId="0" applyFont="1" applyFill="1" applyBorder="1" applyAlignment="1" applyProtection="1">
      <alignment horizontal="right" vertical="center"/>
      <protection locked="0"/>
    </xf>
    <xf numFmtId="0" fontId="6" fillId="0" borderId="22" xfId="0" applyFont="1" applyBorder="1" applyAlignment="1" applyProtection="1">
      <alignment vertical="center" shrinkToFit="1"/>
      <protection locked="0"/>
    </xf>
    <xf numFmtId="14" fontId="6" fillId="0" borderId="22" xfId="0" applyNumberFormat="1" applyFont="1" applyBorder="1" applyProtection="1">
      <alignment vertical="center"/>
      <protection locked="0"/>
    </xf>
    <xf numFmtId="176" fontId="6" fillId="0" borderId="22" xfId="0" applyNumberFormat="1" applyFont="1" applyBorder="1" applyProtection="1">
      <alignment vertical="center"/>
      <protection locked="0"/>
    </xf>
    <xf numFmtId="14" fontId="9" fillId="2" borderId="1" xfId="0" applyNumberFormat="1" applyFont="1" applyFill="1" applyBorder="1" applyAlignment="1">
      <alignment vertical="center" shrinkToFit="1"/>
    </xf>
    <xf numFmtId="14" fontId="6" fillId="0" borderId="22" xfId="0" applyNumberFormat="1" applyFont="1" applyBorder="1" applyAlignment="1" applyProtection="1">
      <alignment vertical="center" shrinkToFit="1"/>
      <protection locked="0"/>
    </xf>
    <xf numFmtId="0" fontId="9" fillId="2" borderId="21" xfId="0" applyFont="1" applyFill="1" applyBorder="1" applyAlignment="1">
      <alignment horizontal="left" vertical="center" shrinkToFit="1"/>
    </xf>
    <xf numFmtId="0" fontId="9" fillId="2" borderId="21" xfId="0" applyFont="1" applyFill="1" applyBorder="1" applyAlignment="1">
      <alignment horizontal="left" vertical="center"/>
    </xf>
    <xf numFmtId="0" fontId="9" fillId="2" borderId="18" xfId="0" applyFont="1" applyFill="1" applyBorder="1" applyAlignment="1">
      <alignment horizontal="left" vertical="center" shrinkToFit="1"/>
    </xf>
    <xf numFmtId="0" fontId="9" fillId="2" borderId="19" xfId="0" applyFont="1" applyFill="1" applyBorder="1" applyAlignment="1">
      <alignment horizontal="left" vertical="center" shrinkToFit="1"/>
    </xf>
    <xf numFmtId="0" fontId="0" fillId="5" borderId="0" xfId="0" applyFill="1" applyAlignment="1">
      <alignment vertical="center" shrinkToFit="1"/>
    </xf>
    <xf numFmtId="14" fontId="0" fillId="5" borderId="0" xfId="0" applyNumberFormat="1" applyFill="1" applyAlignment="1">
      <alignment vertical="center" shrinkToFit="1"/>
    </xf>
    <xf numFmtId="176" fontId="0" fillId="5" borderId="0" xfId="0" applyNumberFormat="1" applyFill="1" applyAlignment="1">
      <alignment vertical="center" shrinkToFit="1"/>
    </xf>
    <xf numFmtId="177" fontId="0" fillId="5" borderId="0" xfId="0" applyNumberFormat="1" applyFill="1" applyAlignment="1">
      <alignment vertical="center" shrinkToFit="1"/>
    </xf>
    <xf numFmtId="0" fontId="0" fillId="0" borderId="0" xfId="0" applyAlignment="1">
      <alignment vertical="center" shrinkToFit="1"/>
    </xf>
    <xf numFmtId="0" fontId="0" fillId="0" borderId="5" xfId="0" applyBorder="1" applyAlignment="1" applyProtection="1">
      <alignment vertical="center" wrapText="1"/>
      <protection locked="0"/>
    </xf>
    <xf numFmtId="0" fontId="0" fillId="2" borderId="0" xfId="0" applyFill="1">
      <alignment vertical="center"/>
    </xf>
    <xf numFmtId="0" fontId="23" fillId="0" borderId="32" xfId="0" applyFont="1" applyBorder="1" applyAlignment="1">
      <alignment vertical="top" wrapText="1" shrinkToFit="1"/>
    </xf>
    <xf numFmtId="0" fontId="6" fillId="0" borderId="0" xfId="0" applyFont="1" applyAlignment="1" applyProtection="1">
      <alignment vertical="top"/>
      <protection locked="0"/>
    </xf>
    <xf numFmtId="14" fontId="6" fillId="0" borderId="24" xfId="0" applyNumberFormat="1" applyFont="1" applyBorder="1" applyProtection="1">
      <alignment vertical="center"/>
      <protection locked="0"/>
    </xf>
    <xf numFmtId="0" fontId="6" fillId="0" borderId="16" xfId="0" applyFont="1" applyBorder="1" applyProtection="1">
      <alignment vertical="center"/>
      <protection locked="0"/>
    </xf>
    <xf numFmtId="0" fontId="6" fillId="0" borderId="36" xfId="0" applyFont="1" applyBorder="1" applyProtection="1">
      <alignment vertical="center"/>
      <protection locked="0"/>
    </xf>
    <xf numFmtId="0" fontId="6" fillId="0" borderId="37" xfId="0" applyFont="1" applyBorder="1">
      <alignment vertical="center"/>
    </xf>
    <xf numFmtId="0" fontId="6" fillId="0" borderId="25" xfId="0" applyFont="1" applyBorder="1">
      <alignment vertical="center"/>
    </xf>
    <xf numFmtId="0" fontId="6" fillId="0" borderId="25" xfId="0" applyFont="1" applyBorder="1" applyAlignment="1" applyProtection="1">
      <alignment vertical="top"/>
      <protection locked="0"/>
    </xf>
    <xf numFmtId="0" fontId="6" fillId="0" borderId="25" xfId="0" applyFont="1" applyBorder="1" applyProtection="1">
      <alignment vertical="center"/>
      <protection locked="0"/>
    </xf>
    <xf numFmtId="0" fontId="6" fillId="0" borderId="15" xfId="0" applyFont="1" applyBorder="1" applyProtection="1">
      <alignment vertical="center"/>
      <protection locked="0"/>
    </xf>
    <xf numFmtId="0" fontId="6" fillId="0" borderId="6" xfId="0" applyFont="1" applyBorder="1" applyAlignment="1" applyProtection="1">
      <alignment vertical="top" wrapText="1"/>
      <protection locked="0"/>
    </xf>
    <xf numFmtId="0" fontId="6" fillId="0" borderId="4" xfId="0" applyFont="1" applyBorder="1">
      <alignment vertical="center"/>
    </xf>
    <xf numFmtId="0" fontId="6" fillId="0" borderId="17" xfId="0" applyFont="1" applyBorder="1" applyAlignment="1" applyProtection="1">
      <alignment vertical="top" shrinkToFit="1"/>
      <protection locked="0"/>
    </xf>
    <xf numFmtId="0" fontId="6" fillId="0" borderId="17" xfId="0" applyFont="1" applyBorder="1" applyAlignment="1" applyProtection="1">
      <alignment vertical="top"/>
      <protection locked="0"/>
    </xf>
    <xf numFmtId="14" fontId="6" fillId="0" borderId="17" xfId="0" applyNumberFormat="1" applyFont="1" applyBorder="1" applyProtection="1">
      <alignment vertical="center"/>
      <protection locked="0"/>
    </xf>
    <xf numFmtId="0" fontId="6" fillId="0" borderId="2" xfId="0" applyFont="1" applyBorder="1" applyProtection="1">
      <alignment vertical="center"/>
      <protection locked="0"/>
    </xf>
    <xf numFmtId="0" fontId="6" fillId="0" borderId="2" xfId="0" applyFont="1" applyBorder="1">
      <alignment vertical="center"/>
    </xf>
    <xf numFmtId="0" fontId="6" fillId="0" borderId="15" xfId="0" applyFont="1" applyBorder="1">
      <alignment vertical="center"/>
    </xf>
    <xf numFmtId="0" fontId="6" fillId="2" borderId="6" xfId="0" applyFont="1" applyFill="1" applyBorder="1" applyAlignment="1">
      <alignment horizontal="center" vertical="center"/>
    </xf>
    <xf numFmtId="0" fontId="6" fillId="2" borderId="15" xfId="0" applyFont="1" applyFill="1" applyBorder="1" applyAlignment="1">
      <alignment vertical="center" shrinkToFit="1"/>
    </xf>
    <xf numFmtId="0" fontId="6" fillId="2" borderId="15" xfId="0" applyFont="1" applyFill="1" applyBorder="1" applyAlignment="1">
      <alignment vertical="top" shrinkToFit="1"/>
    </xf>
    <xf numFmtId="0" fontId="22" fillId="0" borderId="0" xfId="4" quotePrefix="1" applyAlignment="1" applyProtection="1">
      <alignment vertical="center" wrapText="1"/>
      <protection locked="0"/>
    </xf>
    <xf numFmtId="0" fontId="22" fillId="0" borderId="0" xfId="4" applyAlignment="1" applyProtection="1">
      <alignment vertical="center" wrapText="1"/>
      <protection locked="0"/>
    </xf>
    <xf numFmtId="0" fontId="6" fillId="0" borderId="1" xfId="0" applyFont="1" applyBorder="1" applyAlignment="1">
      <alignment vertical="center" wrapText="1"/>
    </xf>
    <xf numFmtId="0" fontId="29" fillId="0" borderId="0" xfId="5" applyFont="1">
      <alignment vertical="center"/>
    </xf>
    <xf numFmtId="0" fontId="31" fillId="0" borderId="0" xfId="7" applyFont="1" applyAlignment="1">
      <alignment horizontal="left" vertical="top"/>
    </xf>
    <xf numFmtId="0" fontId="10" fillId="0" borderId="0" xfId="7"/>
    <xf numFmtId="0" fontId="32" fillId="0" borderId="0" xfId="7" applyFont="1" applyAlignment="1">
      <alignment horizontal="left" vertical="top"/>
    </xf>
    <xf numFmtId="0" fontId="19" fillId="0" borderId="0" xfId="0" applyFont="1">
      <alignment vertical="center"/>
    </xf>
    <xf numFmtId="0" fontId="19" fillId="0" borderId="0" xfId="0" applyFont="1" applyAlignment="1">
      <alignment vertical="center" wrapText="1"/>
    </xf>
    <xf numFmtId="0" fontId="0" fillId="6" borderId="0" xfId="0" applyFill="1" applyAlignment="1">
      <alignment vertical="center" shrinkToFit="1"/>
    </xf>
    <xf numFmtId="0" fontId="0" fillId="6" borderId="0" xfId="0" applyFill="1" applyAlignment="1">
      <alignment vertical="center" wrapText="1" shrinkToFit="1"/>
    </xf>
    <xf numFmtId="176" fontId="0" fillId="6" borderId="0" xfId="0" applyNumberFormat="1" applyFill="1" applyAlignment="1">
      <alignment vertical="center" shrinkToFit="1"/>
    </xf>
    <xf numFmtId="0" fontId="0" fillId="0" borderId="0" xfId="0" applyAlignment="1">
      <alignment vertical="top"/>
    </xf>
    <xf numFmtId="14" fontId="0" fillId="0" borderId="0" xfId="0" quotePrefix="1" applyNumberFormat="1" applyAlignment="1">
      <alignment vertical="center" wrapText="1"/>
    </xf>
    <xf numFmtId="14" fontId="0" fillId="6" borderId="0" xfId="0" applyNumberFormat="1" applyFill="1" applyAlignment="1">
      <alignment vertical="center" shrinkToFit="1"/>
    </xf>
    <xf numFmtId="0" fontId="0" fillId="13" borderId="0" xfId="0" applyFill="1" applyAlignment="1">
      <alignment vertical="center" shrinkToFit="1"/>
    </xf>
    <xf numFmtId="0" fontId="0" fillId="6" borderId="0" xfId="0" applyFill="1" applyAlignment="1">
      <alignment vertical="center" wrapText="1"/>
    </xf>
    <xf numFmtId="0" fontId="34" fillId="0" borderId="0" xfId="0" applyFont="1">
      <alignment vertical="center"/>
    </xf>
    <xf numFmtId="0" fontId="33" fillId="0" borderId="0" xfId="0" applyFont="1">
      <alignment vertical="center"/>
    </xf>
    <xf numFmtId="0" fontId="10" fillId="12" borderId="0" xfId="6" applyFont="1" applyFill="1" applyAlignment="1">
      <alignment vertical="top" wrapText="1"/>
    </xf>
    <xf numFmtId="0" fontId="32" fillId="12" borderId="9" xfId="7" applyFont="1" applyFill="1" applyBorder="1" applyAlignment="1">
      <alignment horizontal="left" vertical="top" wrapText="1"/>
    </xf>
    <xf numFmtId="0" fontId="32" fillId="12" borderId="10" xfId="7" applyFont="1" applyFill="1" applyBorder="1" applyAlignment="1">
      <alignment horizontal="left" vertical="top"/>
    </xf>
    <xf numFmtId="0" fontId="10" fillId="12" borderId="10" xfId="7" applyFill="1" applyBorder="1" applyAlignment="1">
      <alignment horizontal="left" vertical="top"/>
    </xf>
    <xf numFmtId="0" fontId="10" fillId="12" borderId="11" xfId="7" applyFill="1" applyBorder="1" applyAlignment="1">
      <alignment horizontal="left" vertical="top"/>
    </xf>
    <xf numFmtId="0" fontId="32" fillId="12" borderId="12" xfId="7" applyFont="1" applyFill="1" applyBorder="1" applyAlignment="1">
      <alignment horizontal="left" vertical="top" wrapText="1"/>
    </xf>
    <xf numFmtId="0" fontId="29" fillId="12" borderId="0" xfId="0" applyFont="1" applyFill="1" applyAlignment="1">
      <alignment vertical="top"/>
    </xf>
    <xf numFmtId="0" fontId="29" fillId="12" borderId="0" xfId="5" applyFont="1" applyFill="1">
      <alignment vertical="center"/>
    </xf>
    <xf numFmtId="0" fontId="10" fillId="12" borderId="13" xfId="7" applyFill="1" applyBorder="1" applyAlignment="1">
      <alignment horizontal="left" vertical="top"/>
    </xf>
    <xf numFmtId="0" fontId="10" fillId="12" borderId="12" xfId="7" applyFill="1" applyBorder="1" applyAlignment="1">
      <alignment horizontal="left" vertical="top"/>
    </xf>
    <xf numFmtId="0" fontId="29" fillId="12" borderId="13" xfId="5" applyFont="1" applyFill="1" applyBorder="1">
      <alignment vertical="center"/>
    </xf>
    <xf numFmtId="0" fontId="10" fillId="12" borderId="0" xfId="5" applyFont="1" applyFill="1">
      <alignment vertical="center"/>
    </xf>
    <xf numFmtId="0" fontId="30" fillId="12" borderId="0" xfId="6" applyFont="1" applyFill="1" applyAlignment="1">
      <alignment vertical="top"/>
    </xf>
    <xf numFmtId="0" fontId="10" fillId="12" borderId="0" xfId="7" applyFill="1" applyAlignment="1">
      <alignment horizontal="left" vertical="top"/>
    </xf>
    <xf numFmtId="0" fontId="0" fillId="12" borderId="0" xfId="0" applyFill="1" applyAlignment="1">
      <alignment vertical="top" wrapText="1"/>
    </xf>
    <xf numFmtId="0" fontId="32" fillId="12" borderId="14" xfId="7" applyFont="1" applyFill="1" applyBorder="1" applyAlignment="1">
      <alignment horizontal="left" vertical="top"/>
    </xf>
    <xf numFmtId="0" fontId="32" fillId="12" borderId="7" xfId="7" applyFont="1" applyFill="1" applyBorder="1" applyAlignment="1">
      <alignment horizontal="left" vertical="top"/>
    </xf>
    <xf numFmtId="0" fontId="10" fillId="12" borderId="7" xfId="7" applyFill="1" applyBorder="1" applyAlignment="1">
      <alignment horizontal="left" vertical="top"/>
    </xf>
    <xf numFmtId="0" fontId="10" fillId="12" borderId="8" xfId="7" applyFill="1" applyBorder="1" applyAlignment="1">
      <alignment horizontal="left" vertical="top"/>
    </xf>
    <xf numFmtId="0" fontId="36" fillId="12" borderId="0" xfId="0" applyFont="1" applyFill="1" applyAlignment="1">
      <alignment vertical="top"/>
    </xf>
    <xf numFmtId="0" fontId="0" fillId="12" borderId="0" xfId="0" applyFill="1" applyAlignment="1">
      <alignment vertical="top"/>
    </xf>
    <xf numFmtId="0" fontId="6" fillId="0" borderId="1" xfId="0" applyFont="1" applyBorder="1" applyAlignment="1">
      <alignment vertical="top" wrapText="1"/>
    </xf>
    <xf numFmtId="0" fontId="0" fillId="0" borderId="1" xfId="0" applyBorder="1" applyAlignment="1">
      <alignment vertical="top" wrapText="1"/>
    </xf>
    <xf numFmtId="0" fontId="9" fillId="0" borderId="7" xfId="0" applyFont="1" applyBorder="1" applyAlignment="1">
      <alignment horizontal="center" vertical="center" wrapText="1"/>
    </xf>
    <xf numFmtId="0" fontId="0" fillId="0" borderId="7" xfId="0" applyBorder="1" applyAlignment="1">
      <alignment horizontal="center" vertical="center" wrapText="1"/>
    </xf>
    <xf numFmtId="0" fontId="6" fillId="0" borderId="1" xfId="0" applyFont="1" applyBorder="1" applyAlignment="1" applyProtection="1">
      <alignment vertical="top" wrapText="1"/>
      <protection locked="0"/>
    </xf>
    <xf numFmtId="14" fontId="6" fillId="0" borderId="1" xfId="0" applyNumberFormat="1" applyFont="1" applyBorder="1" applyAlignment="1" applyProtection="1">
      <alignment vertical="top" wrapText="1"/>
      <protection locked="0"/>
    </xf>
    <xf numFmtId="0" fontId="11" fillId="2" borderId="19" xfId="0" applyFont="1" applyFill="1" applyBorder="1" applyAlignment="1">
      <alignment horizontal="center" vertical="center" shrinkToFit="1"/>
    </xf>
    <xf numFmtId="0" fontId="6" fillId="0" borderId="20" xfId="0" applyFont="1" applyBorder="1" applyAlignment="1">
      <alignment horizontal="center" vertical="center" shrinkToFit="1"/>
    </xf>
    <xf numFmtId="0" fontId="6" fillId="0" borderId="1" xfId="0" applyFont="1" applyBorder="1" applyAlignment="1" applyProtection="1">
      <alignment vertical="top" shrinkToFit="1"/>
      <protection locked="0"/>
    </xf>
    <xf numFmtId="14" fontId="6" fillId="0" borderId="1" xfId="0" applyNumberFormat="1" applyFont="1" applyBorder="1" applyAlignment="1" applyProtection="1">
      <alignment vertical="top" shrinkToFit="1"/>
      <protection locked="0"/>
    </xf>
    <xf numFmtId="0" fontId="6" fillId="0" borderId="19" xfId="0" applyFont="1" applyBorder="1" applyAlignment="1" applyProtection="1">
      <alignment vertical="top" shrinkToFit="1"/>
      <protection locked="0"/>
    </xf>
    <xf numFmtId="14" fontId="6" fillId="0" borderId="19" xfId="0" applyNumberFormat="1" applyFont="1" applyBorder="1" applyAlignment="1" applyProtection="1">
      <alignment vertical="top" shrinkToFit="1"/>
      <protection locked="0"/>
    </xf>
    <xf numFmtId="0" fontId="6" fillId="0" borderId="1" xfId="0" applyFont="1" applyBorder="1" applyAlignment="1" applyProtection="1">
      <alignment vertical="center" shrinkToFit="1"/>
      <protection locked="0"/>
    </xf>
    <xf numFmtId="14" fontId="6" fillId="0" borderId="1" xfId="0" applyNumberFormat="1" applyFont="1" applyBorder="1" applyAlignment="1" applyProtection="1">
      <alignment vertical="center" shrinkToFit="1"/>
      <protection locked="0"/>
    </xf>
    <xf numFmtId="0" fontId="6" fillId="0" borderId="1" xfId="0" applyFont="1" applyBorder="1" applyAlignment="1" applyProtection="1">
      <alignment horizontal="left" vertical="center" shrinkToFit="1"/>
      <protection locked="0"/>
    </xf>
    <xf numFmtId="14" fontId="6" fillId="0" borderId="1" xfId="0" applyNumberFormat="1" applyFont="1" applyBorder="1" applyAlignment="1" applyProtection="1">
      <alignment horizontal="left" vertical="center" shrinkToFit="1"/>
      <protection locked="0"/>
    </xf>
    <xf numFmtId="0" fontId="9" fillId="2" borderId="21" xfId="0" applyFont="1" applyFill="1" applyBorder="1" applyAlignment="1">
      <alignment horizontal="left" vertical="center" wrapText="1"/>
    </xf>
    <xf numFmtId="0" fontId="25" fillId="2" borderId="21" xfId="0" applyFont="1" applyFill="1" applyBorder="1" applyAlignment="1">
      <alignment horizontal="left" vertical="center" wrapText="1"/>
    </xf>
    <xf numFmtId="0" fontId="6" fillId="2" borderId="31" xfId="0" applyFont="1" applyFill="1" applyBorder="1" applyAlignment="1">
      <alignment vertical="top" wrapText="1"/>
    </xf>
    <xf numFmtId="0" fontId="6" fillId="0" borderId="16" xfId="0" applyFont="1" applyBorder="1" applyAlignment="1">
      <alignment vertical="top" wrapText="1"/>
    </xf>
    <xf numFmtId="0" fontId="6" fillId="0" borderId="22" xfId="0" applyFont="1" applyBorder="1" applyAlignment="1" applyProtection="1">
      <alignment vertical="top" wrapText="1"/>
      <protection locked="0"/>
    </xf>
    <xf numFmtId="14" fontId="0" fillId="0" borderId="1" xfId="0" applyNumberFormat="1" applyBorder="1" applyAlignment="1">
      <alignment vertical="top" wrapText="1"/>
    </xf>
    <xf numFmtId="0" fontId="0" fillId="0" borderId="22" xfId="0" applyBorder="1" applyAlignment="1">
      <alignment vertical="top" wrapText="1"/>
    </xf>
    <xf numFmtId="0" fontId="6" fillId="0" borderId="4" xfId="0" applyFont="1" applyBorder="1" applyAlignment="1" applyProtection="1">
      <alignment vertical="top" wrapText="1"/>
      <protection locked="0"/>
    </xf>
    <xf numFmtId="0" fontId="6" fillId="0" borderId="17" xfId="0" applyFont="1" applyBorder="1" applyAlignment="1" applyProtection="1">
      <alignment vertical="top" wrapText="1"/>
      <protection locked="0"/>
    </xf>
    <xf numFmtId="14" fontId="6" fillId="0" borderId="17" xfId="0" applyNumberFormat="1" applyFont="1" applyBorder="1" applyAlignment="1" applyProtection="1">
      <alignment vertical="top" wrapText="1"/>
      <protection locked="0"/>
    </xf>
    <xf numFmtId="0" fontId="6" fillId="0" borderId="2" xfId="0" applyFont="1" applyBorder="1" applyAlignment="1" applyProtection="1">
      <alignment vertical="top" wrapText="1"/>
      <protection locked="0"/>
    </xf>
    <xf numFmtId="0" fontId="6" fillId="0" borderId="4" xfId="0" applyFont="1" applyBorder="1" applyAlignment="1">
      <alignment vertical="top" wrapText="1"/>
    </xf>
    <xf numFmtId="0" fontId="6" fillId="0" borderId="2" xfId="0" applyFont="1" applyBorder="1" applyAlignment="1">
      <alignment vertical="top" wrapText="1"/>
    </xf>
    <xf numFmtId="177" fontId="6" fillId="0" borderId="4" xfId="0" applyNumberFormat="1" applyFont="1" applyBorder="1" applyAlignment="1" applyProtection="1">
      <alignment vertical="top" wrapText="1"/>
      <protection locked="0"/>
    </xf>
    <xf numFmtId="177" fontId="6" fillId="0" borderId="17" xfId="0" applyNumberFormat="1" applyFont="1" applyBorder="1" applyAlignment="1" applyProtection="1">
      <alignment vertical="top" wrapText="1"/>
      <protection locked="0"/>
    </xf>
    <xf numFmtId="177" fontId="6" fillId="0" borderId="2" xfId="0" applyNumberFormat="1" applyFont="1" applyBorder="1" applyAlignment="1" applyProtection="1">
      <alignment vertical="top" wrapText="1"/>
      <protection locked="0"/>
    </xf>
    <xf numFmtId="56" fontId="6" fillId="0" borderId="23" xfId="0" quotePrefix="1" applyNumberFormat="1" applyFont="1" applyBorder="1" applyAlignment="1" applyProtection="1">
      <alignment vertical="top" wrapText="1"/>
      <protection locked="0"/>
    </xf>
    <xf numFmtId="56" fontId="6" fillId="0" borderId="24" xfId="0" quotePrefix="1" applyNumberFormat="1" applyFont="1" applyBorder="1" applyAlignment="1" applyProtection="1">
      <alignment vertical="top" wrapText="1"/>
      <protection locked="0"/>
    </xf>
    <xf numFmtId="56" fontId="6" fillId="0" borderId="26" xfId="0" quotePrefix="1" applyNumberFormat="1" applyFont="1" applyBorder="1" applyAlignment="1" applyProtection="1">
      <alignment vertical="top" wrapText="1"/>
      <protection locked="0"/>
    </xf>
    <xf numFmtId="56" fontId="6" fillId="0" borderId="12" xfId="0" quotePrefix="1" applyNumberFormat="1" applyFont="1" applyBorder="1" applyAlignment="1" applyProtection="1">
      <alignment vertical="top" wrapText="1"/>
      <protection locked="0"/>
    </xf>
    <xf numFmtId="56" fontId="6" fillId="0" borderId="0" xfId="0" quotePrefix="1" applyNumberFormat="1" applyFont="1" applyAlignment="1" applyProtection="1">
      <alignment vertical="top" wrapText="1"/>
      <protection locked="0"/>
    </xf>
    <xf numFmtId="56" fontId="6" fillId="0" borderId="13" xfId="0" quotePrefix="1" applyNumberFormat="1" applyFont="1" applyBorder="1" applyAlignment="1" applyProtection="1">
      <alignment vertical="top" wrapText="1"/>
      <protection locked="0"/>
    </xf>
    <xf numFmtId="56" fontId="6" fillId="0" borderId="27" xfId="0" quotePrefix="1" applyNumberFormat="1" applyFont="1" applyBorder="1" applyAlignment="1" applyProtection="1">
      <alignment vertical="top" wrapText="1"/>
      <protection locked="0"/>
    </xf>
    <xf numFmtId="56" fontId="6" fillId="0" borderId="25" xfId="0" quotePrefix="1" applyNumberFormat="1" applyFont="1" applyBorder="1" applyAlignment="1" applyProtection="1">
      <alignment vertical="top" wrapText="1"/>
      <protection locked="0"/>
    </xf>
    <xf numFmtId="56" fontId="6" fillId="0" borderId="28" xfId="0" quotePrefix="1" applyNumberFormat="1" applyFont="1" applyBorder="1" applyAlignment="1" applyProtection="1">
      <alignment vertical="top" wrapText="1"/>
      <protection locked="0"/>
    </xf>
    <xf numFmtId="0" fontId="9" fillId="2" borderId="29" xfId="0" applyFont="1" applyFill="1" applyBorder="1" applyAlignment="1">
      <alignment vertical="top" wrapText="1"/>
    </xf>
    <xf numFmtId="0" fontId="9" fillId="2" borderId="17" xfId="0" applyFont="1" applyFill="1" applyBorder="1" applyAlignment="1">
      <alignment vertical="top" wrapText="1"/>
    </xf>
    <xf numFmtId="0" fontId="9" fillId="2" borderId="30" xfId="0" applyFont="1" applyFill="1" applyBorder="1" applyAlignment="1">
      <alignment vertical="top" wrapText="1"/>
    </xf>
    <xf numFmtId="0" fontId="6" fillId="0" borderId="23" xfId="0" applyFont="1" applyBorder="1" applyAlignment="1" applyProtection="1">
      <alignment vertical="top" wrapText="1"/>
      <protection locked="0"/>
    </xf>
    <xf numFmtId="0" fontId="6" fillId="0" borderId="24" xfId="0" applyFont="1" applyBorder="1" applyAlignment="1" applyProtection="1">
      <alignment vertical="top" wrapText="1"/>
      <protection locked="0"/>
    </xf>
    <xf numFmtId="0" fontId="6" fillId="0" borderId="26" xfId="0" applyFont="1" applyBorder="1" applyAlignment="1" applyProtection="1">
      <alignment vertical="top" wrapText="1"/>
      <protection locked="0"/>
    </xf>
    <xf numFmtId="0" fontId="6" fillId="0" borderId="12" xfId="0" applyFont="1" applyBorder="1" applyAlignment="1" applyProtection="1">
      <alignment vertical="top" wrapText="1"/>
      <protection locked="0"/>
    </xf>
    <xf numFmtId="0" fontId="6" fillId="0" borderId="0" xfId="0" applyFont="1" applyAlignment="1" applyProtection="1">
      <alignment vertical="top" wrapText="1"/>
      <protection locked="0"/>
    </xf>
    <xf numFmtId="0" fontId="6" fillId="0" borderId="13" xfId="0" applyFont="1" applyBorder="1" applyAlignment="1" applyProtection="1">
      <alignment vertical="top" wrapText="1"/>
      <protection locked="0"/>
    </xf>
    <xf numFmtId="0" fontId="6" fillId="0" borderId="27" xfId="0" applyFont="1" applyBorder="1" applyAlignment="1" applyProtection="1">
      <alignment vertical="top" wrapText="1"/>
      <protection locked="0"/>
    </xf>
    <xf numFmtId="0" fontId="6" fillId="0" borderId="25" xfId="0" applyFont="1" applyBorder="1" applyAlignment="1" applyProtection="1">
      <alignment vertical="top" wrapText="1"/>
      <protection locked="0"/>
    </xf>
    <xf numFmtId="0" fontId="6" fillId="0" borderId="28" xfId="0" applyFont="1" applyBorder="1" applyAlignment="1" applyProtection="1">
      <alignment vertical="top" wrapText="1"/>
      <protection locked="0"/>
    </xf>
    <xf numFmtId="0" fontId="6" fillId="0" borderId="0" xfId="0" applyFont="1" applyAlignment="1" applyProtection="1">
      <alignment horizontal="left" vertical="center"/>
      <protection locked="0"/>
    </xf>
    <xf numFmtId="0" fontId="6" fillId="0" borderId="0" xfId="0" applyFont="1" applyAlignment="1" applyProtection="1">
      <alignment horizontal="center" vertical="center"/>
      <protection locked="0"/>
    </xf>
    <xf numFmtId="0" fontId="6" fillId="0" borderId="13" xfId="0" applyFont="1" applyBorder="1" applyAlignment="1" applyProtection="1">
      <alignment horizontal="center" vertical="center"/>
      <protection locked="0"/>
    </xf>
    <xf numFmtId="0" fontId="9" fillId="0" borderId="0" xfId="0" applyFont="1" applyAlignment="1" applyProtection="1">
      <alignment horizontal="center" vertical="center" wrapText="1"/>
      <protection locked="0"/>
    </xf>
    <xf numFmtId="14" fontId="9" fillId="0" borderId="0" xfId="0" applyNumberFormat="1" applyFont="1" applyAlignment="1" applyProtection="1">
      <alignment horizontal="center" vertical="center" wrapText="1"/>
      <protection locked="0"/>
    </xf>
    <xf numFmtId="0" fontId="6" fillId="0" borderId="0" xfId="0" applyFont="1" applyProtection="1">
      <alignment vertical="center"/>
      <protection locked="0"/>
    </xf>
    <xf numFmtId="0" fontId="6" fillId="0" borderId="10" xfId="0" applyFont="1" applyBorder="1" applyAlignment="1" applyProtection="1">
      <alignment horizontal="center" vertical="center"/>
      <protection locked="0"/>
    </xf>
    <xf numFmtId="0" fontId="6" fillId="0" borderId="11" xfId="0" applyFont="1" applyBorder="1" applyAlignment="1" applyProtection="1">
      <alignment horizontal="center" vertical="center"/>
      <protection locked="0"/>
    </xf>
    <xf numFmtId="0" fontId="6" fillId="0" borderId="25" xfId="0" applyFont="1" applyBorder="1" applyAlignment="1" applyProtection="1">
      <alignment vertical="top" shrinkToFit="1"/>
      <protection locked="0"/>
    </xf>
    <xf numFmtId="14" fontId="6" fillId="0" borderId="25" xfId="0" applyNumberFormat="1" applyFont="1" applyBorder="1" applyAlignment="1" applyProtection="1">
      <alignment vertical="top" shrinkToFit="1"/>
      <protection locked="0"/>
    </xf>
    <xf numFmtId="0" fontId="9" fillId="2" borderId="0" xfId="0" applyFont="1" applyFill="1" applyAlignment="1">
      <alignment vertical="top" wrapText="1"/>
    </xf>
    <xf numFmtId="0" fontId="9" fillId="2" borderId="2" xfId="0" applyFont="1" applyFill="1" applyBorder="1" applyAlignment="1">
      <alignment vertical="top" wrapText="1"/>
    </xf>
    <xf numFmtId="0" fontId="6" fillId="0" borderId="4" xfId="0" applyFont="1" applyBorder="1" applyAlignment="1" applyProtection="1">
      <alignment vertical="top" wrapText="1" shrinkToFit="1"/>
      <protection locked="0"/>
    </xf>
    <xf numFmtId="0" fontId="6" fillId="0" borderId="17" xfId="0" applyFont="1" applyBorder="1" applyAlignment="1" applyProtection="1">
      <alignment vertical="top" wrapText="1" shrinkToFit="1"/>
      <protection locked="0"/>
    </xf>
    <xf numFmtId="0" fontId="6" fillId="0" borderId="30" xfId="0" applyFont="1" applyBorder="1" applyAlignment="1" applyProtection="1">
      <alignment vertical="top" wrapText="1" shrinkToFit="1"/>
      <protection locked="0"/>
    </xf>
    <xf numFmtId="0" fontId="6" fillId="0" borderId="17" xfId="0" applyFont="1" applyBorder="1" applyAlignment="1" applyProtection="1">
      <alignment vertical="top" shrinkToFit="1"/>
      <protection locked="0"/>
    </xf>
    <xf numFmtId="14" fontId="6" fillId="0" borderId="17" xfId="0" applyNumberFormat="1" applyFont="1" applyBorder="1" applyAlignment="1" applyProtection="1">
      <alignment vertical="top" shrinkToFit="1"/>
      <protection locked="0"/>
    </xf>
    <xf numFmtId="0" fontId="6" fillId="0" borderId="2" xfId="0" applyFont="1" applyBorder="1" applyAlignment="1" applyProtection="1">
      <alignment vertical="top" shrinkToFit="1"/>
      <protection locked="0"/>
    </xf>
    <xf numFmtId="0" fontId="0" fillId="0" borderId="2" xfId="0" applyBorder="1" applyAlignment="1">
      <alignment vertical="top" wrapText="1"/>
    </xf>
    <xf numFmtId="0" fontId="6" fillId="0" borderId="6" xfId="0" applyFont="1" applyBorder="1" applyAlignment="1">
      <alignment vertical="top" wrapText="1"/>
    </xf>
    <xf numFmtId="0" fontId="0" fillId="0" borderId="6" xfId="0" applyBorder="1" applyAlignment="1">
      <alignment vertical="top" wrapText="1"/>
    </xf>
    <xf numFmtId="0" fontId="6" fillId="0" borderId="6" xfId="0" applyFont="1" applyBorder="1" applyAlignment="1" applyProtection="1">
      <alignment vertical="top" wrapText="1"/>
      <protection locked="0"/>
    </xf>
    <xf numFmtId="0" fontId="0" fillId="0" borderId="6" xfId="0" applyBorder="1" applyAlignment="1" applyProtection="1">
      <alignment vertical="top" wrapText="1"/>
      <protection locked="0"/>
    </xf>
    <xf numFmtId="0" fontId="6" fillId="0" borderId="5" xfId="0" applyFont="1" applyBorder="1" applyAlignment="1" applyProtection="1">
      <alignment vertical="top" wrapText="1"/>
      <protection locked="0"/>
    </xf>
    <xf numFmtId="0" fontId="0" fillId="0" borderId="5" xfId="0" applyBorder="1" applyAlignment="1" applyProtection="1">
      <alignment vertical="top" wrapText="1"/>
      <protection locked="0"/>
    </xf>
    <xf numFmtId="0" fontId="6" fillId="0" borderId="5" xfId="0" applyFont="1" applyBorder="1" applyAlignment="1">
      <alignment vertical="top" wrapText="1"/>
    </xf>
    <xf numFmtId="0" fontId="0" fillId="0" borderId="5" xfId="0" applyBorder="1" applyAlignment="1">
      <alignment vertical="top" wrapText="1"/>
    </xf>
    <xf numFmtId="0" fontId="23" fillId="0" borderId="1" xfId="0" applyFont="1" applyBorder="1" applyAlignment="1" applyProtection="1">
      <alignment vertical="top" wrapText="1"/>
      <protection locked="0"/>
    </xf>
    <xf numFmtId="14" fontId="23" fillId="0" borderId="1" xfId="0" applyNumberFormat="1" applyFont="1" applyBorder="1" applyAlignment="1" applyProtection="1">
      <alignment vertical="top" wrapText="1"/>
      <protection locked="0"/>
    </xf>
    <xf numFmtId="0" fontId="23" fillId="8" borderId="31" xfId="0" applyFont="1" applyFill="1" applyBorder="1" applyAlignment="1" applyProtection="1">
      <alignment vertical="top" wrapText="1" shrinkToFit="1"/>
      <protection locked="0"/>
    </xf>
    <xf numFmtId="0" fontId="23" fillId="8" borderId="24" xfId="0" applyFont="1" applyFill="1" applyBorder="1" applyAlignment="1" applyProtection="1">
      <alignment vertical="top" wrapText="1" shrinkToFit="1"/>
      <protection locked="0"/>
    </xf>
    <xf numFmtId="14" fontId="23" fillId="8" borderId="24" xfId="0" applyNumberFormat="1" applyFont="1" applyFill="1" applyBorder="1" applyAlignment="1" applyProtection="1">
      <alignment vertical="top" wrapText="1" shrinkToFit="1"/>
      <protection locked="0"/>
    </xf>
    <xf numFmtId="0" fontId="9" fillId="2" borderId="29" xfId="0" quotePrefix="1" applyFont="1" applyFill="1" applyBorder="1" applyAlignment="1">
      <alignment vertical="top" wrapText="1"/>
    </xf>
    <xf numFmtId="0" fontId="9" fillId="2" borderId="17" xfId="0" quotePrefix="1" applyFont="1" applyFill="1" applyBorder="1" applyAlignment="1">
      <alignment vertical="top" wrapText="1"/>
    </xf>
    <xf numFmtId="0" fontId="9" fillId="2" borderId="2" xfId="0" quotePrefix="1" applyFont="1" applyFill="1" applyBorder="1" applyAlignment="1">
      <alignment vertical="top" wrapText="1"/>
    </xf>
    <xf numFmtId="0" fontId="6" fillId="0" borderId="14" xfId="0" applyFont="1" applyBorder="1" applyAlignment="1" applyProtection="1">
      <alignment vertical="top" wrapText="1"/>
      <protection locked="0"/>
    </xf>
    <xf numFmtId="0" fontId="6" fillId="0" borderId="7" xfId="0" applyFont="1" applyBorder="1" applyAlignment="1" applyProtection="1">
      <alignment vertical="top" wrapText="1"/>
      <protection locked="0"/>
    </xf>
    <xf numFmtId="0" fontId="6" fillId="0" borderId="8" xfId="0" applyFont="1" applyBorder="1" applyAlignment="1" applyProtection="1">
      <alignment vertical="top" wrapText="1"/>
      <protection locked="0"/>
    </xf>
    <xf numFmtId="0" fontId="0" fillId="0" borderId="1" xfId="0" applyBorder="1" applyAlignment="1" applyProtection="1">
      <alignment vertical="top" wrapText="1"/>
      <protection locked="0"/>
    </xf>
    <xf numFmtId="0" fontId="0" fillId="0" borderId="3" xfId="0" applyBorder="1" applyAlignment="1">
      <alignment vertical="top" wrapText="1"/>
    </xf>
    <xf numFmtId="0" fontId="39" fillId="12" borderId="25" xfId="7" applyFont="1" applyFill="1" applyBorder="1" applyAlignment="1">
      <alignment horizontal="left" wrapText="1"/>
    </xf>
    <xf numFmtId="0" fontId="37" fillId="12" borderId="25" xfId="0" applyFont="1" applyFill="1" applyBorder="1" applyAlignment="1">
      <alignment horizontal="left" wrapText="1"/>
    </xf>
    <xf numFmtId="0" fontId="0" fillId="12" borderId="25" xfId="0" applyFill="1" applyBorder="1" applyAlignment="1">
      <alignment horizontal="left" wrapText="1"/>
    </xf>
    <xf numFmtId="0" fontId="10" fillId="12" borderId="17" xfId="7" applyFill="1" applyBorder="1" applyAlignment="1">
      <alignment horizontal="left" wrapText="1"/>
    </xf>
    <xf numFmtId="0" fontId="10" fillId="12" borderId="17" xfId="6" applyFont="1" applyFill="1" applyBorder="1" applyAlignment="1">
      <alignment horizontal="left" wrapText="1"/>
    </xf>
    <xf numFmtId="0" fontId="0" fillId="12" borderId="17" xfId="0" applyFill="1" applyBorder="1" applyAlignment="1">
      <alignment horizontal="left" wrapText="1"/>
    </xf>
    <xf numFmtId="0" fontId="35" fillId="12" borderId="25" xfId="6" applyFont="1" applyFill="1" applyBorder="1" applyAlignment="1">
      <alignment horizontal="left" wrapText="1"/>
    </xf>
    <xf numFmtId="0" fontId="0" fillId="0" borderId="25" xfId="0" applyBorder="1" applyAlignment="1">
      <alignment horizontal="left" wrapText="1"/>
    </xf>
    <xf numFmtId="0" fontId="10" fillId="0" borderId="1" xfId="7" applyBorder="1" applyAlignment="1">
      <alignment vertical="top" wrapText="1"/>
    </xf>
    <xf numFmtId="0" fontId="10" fillId="12" borderId="0" xfId="6" applyFont="1" applyFill="1" applyAlignment="1">
      <alignment vertical="top" wrapText="1"/>
    </xf>
    <xf numFmtId="0" fontId="0" fillId="12" borderId="0" xfId="0" applyFill="1" applyAlignment="1">
      <alignment vertical="top" wrapText="1"/>
    </xf>
    <xf numFmtId="0" fontId="38" fillId="12" borderId="1" xfId="0" applyFont="1" applyFill="1" applyBorder="1" applyAlignment="1">
      <alignment horizontal="center" vertical="center" wrapText="1"/>
    </xf>
    <xf numFmtId="0" fontId="0" fillId="0" borderId="1" xfId="0" applyBorder="1" applyAlignment="1">
      <alignment horizontal="left" vertical="top" wrapText="1"/>
    </xf>
    <xf numFmtId="0" fontId="0" fillId="12" borderId="1" xfId="0" applyFill="1" applyBorder="1" applyAlignment="1">
      <alignment horizontal="right" vertical="top" wrapText="1"/>
    </xf>
    <xf numFmtId="0" fontId="10" fillId="0" borderId="1" xfId="6" applyFont="1" applyBorder="1" applyAlignment="1">
      <alignment vertical="top" wrapText="1"/>
    </xf>
    <xf numFmtId="0" fontId="10" fillId="12" borderId="1" xfId="7" applyFill="1" applyBorder="1" applyAlignment="1">
      <alignment horizontal="right" vertical="center" wrapText="1"/>
    </xf>
    <xf numFmtId="0" fontId="0" fillId="12" borderId="1" xfId="0" applyFill="1" applyBorder="1" applyAlignment="1">
      <alignment horizontal="right" vertical="center" wrapText="1"/>
    </xf>
    <xf numFmtId="0" fontId="30" fillId="0" borderId="1" xfId="6" applyFont="1" applyBorder="1" applyAlignment="1">
      <alignment vertical="top" wrapText="1"/>
    </xf>
    <xf numFmtId="0" fontId="26" fillId="12" borderId="1" xfId="0" applyFont="1" applyFill="1" applyBorder="1" applyAlignment="1">
      <alignment horizontal="center" vertical="center" wrapText="1"/>
    </xf>
    <xf numFmtId="0" fontId="0" fillId="0" borderId="1" xfId="0" applyBorder="1" applyAlignment="1">
      <alignment horizontal="left" vertical="center" wrapText="1"/>
    </xf>
    <xf numFmtId="0" fontId="26" fillId="0" borderId="1" xfId="0" applyFont="1" applyBorder="1" applyAlignment="1">
      <alignment horizontal="left" vertical="center" wrapText="1"/>
    </xf>
    <xf numFmtId="0" fontId="30" fillId="12" borderId="1" xfId="6" applyFont="1" applyFill="1" applyBorder="1" applyAlignment="1">
      <alignment horizontal="center" vertical="center" wrapText="1"/>
    </xf>
    <xf numFmtId="0" fontId="30" fillId="0" borderId="1" xfId="6" applyFont="1" applyBorder="1" applyAlignment="1">
      <alignment horizontal="left" vertical="center" wrapText="1"/>
    </xf>
    <xf numFmtId="0" fontId="30" fillId="12" borderId="1" xfId="6" applyFont="1" applyFill="1" applyBorder="1" applyAlignment="1">
      <alignment horizontal="right" vertical="center" wrapText="1"/>
    </xf>
    <xf numFmtId="0" fontId="26" fillId="12" borderId="1" xfId="0" applyFont="1" applyFill="1" applyBorder="1" applyAlignment="1">
      <alignment horizontal="right" vertical="center" wrapText="1"/>
    </xf>
    <xf numFmtId="0" fontId="10" fillId="12" borderId="0" xfId="6" applyFont="1" applyFill="1" applyAlignment="1">
      <alignment wrapText="1"/>
    </xf>
    <xf numFmtId="0" fontId="0" fillId="12" borderId="0" xfId="0" applyFill="1" applyAlignment="1">
      <alignment wrapText="1"/>
    </xf>
    <xf numFmtId="0" fontId="30" fillId="12" borderId="0" xfId="6" applyFont="1" applyFill="1" applyAlignment="1">
      <alignment vertical="center" wrapText="1"/>
    </xf>
    <xf numFmtId="14" fontId="10" fillId="12" borderId="0" xfId="6" applyNumberFormat="1" applyFont="1" applyFill="1" applyAlignment="1">
      <alignment vertical="top" wrapText="1"/>
    </xf>
    <xf numFmtId="0" fontId="29" fillId="12" borderId="0" xfId="0" applyFont="1" applyFill="1" applyAlignment="1">
      <alignment vertical="top" wrapText="1"/>
    </xf>
    <xf numFmtId="0" fontId="30" fillId="11" borderId="1" xfId="6" applyFont="1" applyFill="1" applyBorder="1" applyAlignment="1">
      <alignment vertical="top" wrapText="1"/>
    </xf>
    <xf numFmtId="0" fontId="30" fillId="11" borderId="1" xfId="6" quotePrefix="1" applyFont="1" applyFill="1" applyBorder="1" applyAlignment="1">
      <alignment vertical="top" wrapText="1"/>
    </xf>
    <xf numFmtId="14" fontId="30" fillId="11" borderId="1" xfId="6" applyNumberFormat="1" applyFont="1" applyFill="1" applyBorder="1" applyAlignment="1">
      <alignment horizontal="center" vertical="center" wrapText="1"/>
    </xf>
    <xf numFmtId="0" fontId="30" fillId="11" borderId="1" xfId="6" applyFont="1" applyFill="1" applyBorder="1" applyAlignment="1">
      <alignment horizontal="center" vertical="center" wrapText="1"/>
    </xf>
    <xf numFmtId="0" fontId="0" fillId="0" borderId="0" xfId="0" applyAlignment="1">
      <alignment vertical="top" wrapText="1"/>
    </xf>
    <xf numFmtId="0" fontId="35" fillId="12" borderId="17" xfId="6" applyFont="1" applyFill="1" applyBorder="1" applyAlignment="1">
      <alignment horizontal="left" wrapText="1"/>
    </xf>
    <xf numFmtId="0" fontId="0" fillId="0" borderId="17" xfId="0" applyBorder="1" applyAlignment="1">
      <alignment horizontal="left" wrapText="1"/>
    </xf>
  </cellXfs>
  <cellStyles count="8">
    <cellStyle name="ハイパーリンク" xfId="4" builtinId="8"/>
    <cellStyle name="標準" xfId="0" builtinId="0"/>
    <cellStyle name="標準 2" xfId="1" xr:uid="{AB0821D8-17EF-4217-B368-72E45EA4AAEF}"/>
    <cellStyle name="標準 2 3" xfId="7" xr:uid="{3FBCA7A6-E600-40D5-BC55-B3E50729C838}"/>
    <cellStyle name="標準 3" xfId="2" xr:uid="{F1807526-E157-44C4-877F-38A70FC127DF}"/>
    <cellStyle name="標準 4" xfId="3" xr:uid="{7531FB9F-273A-4B58-914C-D35DA92BA09B}"/>
    <cellStyle name="標準 4 2" xfId="5" xr:uid="{C827A367-728D-4EF5-A0CD-C9A97DAFFB76}"/>
    <cellStyle name="標準 5" xfId="6" xr:uid="{C3914E06-0C6B-4EC8-880C-9E3476492C40}"/>
  </cellStyles>
  <dxfs count="0"/>
  <tableStyles count="0" defaultTableStyle="TableStyleMedium2" defaultPivotStyle="PivotStyleLight16"/>
  <colors>
    <mruColors>
      <color rgb="FF99FF99"/>
      <color rgb="FF66FF66"/>
      <color rgb="FFFFFF66"/>
      <color rgb="FFFFFF99"/>
      <color rgb="FFFF9900"/>
      <color rgb="FF0000CC"/>
      <color rgb="FF66FFFF"/>
      <color rgb="FF33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s>
</file>

<file path=xl/drawings/_rels/drawing3.x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4.emf"/></Relationships>
</file>

<file path=xl/drawings/_rels/drawing4.x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0</xdr:colOff>
          <xdr:row>0</xdr:row>
          <xdr:rowOff>0</xdr:rowOff>
        </xdr:from>
        <xdr:to>
          <xdr:col>13</xdr:col>
          <xdr:colOff>0</xdr:colOff>
          <xdr:row>5</xdr:row>
          <xdr:rowOff>0</xdr:rowOff>
        </xdr:to>
        <xdr:sp macro="" textlink="">
          <xdr:nvSpPr>
            <xdr:cNvPr id="19457" name="Button 1" hidden="1">
              <a:extLst>
                <a:ext uri="{63B3BB69-23CF-44E3-9099-C40C66FF867C}">
                  <a14:compatExt spid="_x0000_s19457"/>
                </a:ext>
                <a:ext uri="{FF2B5EF4-FFF2-40B4-BE49-F238E27FC236}">
                  <a16:creationId xmlns:a16="http://schemas.microsoft.com/office/drawing/2014/main" id="{00000000-0008-0000-0000-0000014C0000}"/>
                </a:ext>
              </a:extLst>
            </xdr:cNvPr>
            <xdr:cNvSpPr/>
          </xdr:nvSpPr>
          <xdr:spPr bwMode="auto">
            <a:xfrm>
              <a:off x="0" y="0"/>
              <a:ext cx="0" cy="0"/>
            </a:xfrm>
            <a:prstGeom prst="rect">
              <a:avLst/>
            </a:prstGeom>
            <a:noFill/>
            <a:ln w="9525">
              <a:miter lim="800000"/>
              <a:headEnd/>
              <a:tailEnd/>
            </a:ln>
          </xdr:spPr>
          <xdr:txBody>
            <a:bodyPr vertOverflow="clip" wrap="square" lIns="54864" tIns="27432" rIns="54864" bIns="27432" anchor="ctr" upright="1"/>
            <a:lstStyle/>
            <a:p>
              <a:pPr algn="ctr" rtl="0">
                <a:defRPr sz="1000"/>
              </a:pPr>
              <a:r>
                <a:rPr lang="ja-JP" altLang="en-US" sz="2200" b="1" i="0" u="none" strike="noStrike" baseline="0">
                  <a:solidFill>
                    <a:srgbClr val="000000"/>
                  </a:solidFill>
                  <a:latin typeface="HGS創英角ﾎﾟｯﾌﾟ体"/>
                  <a:ea typeface="HGS創英角ﾎﾟｯﾌﾟ体"/>
                </a:rPr>
                <a:t>要求管理ﾌｫｰﾑ</a:t>
              </a:r>
            </a:p>
          </xdr:txBody>
        </xdr:sp>
        <xdr:clientData fPrintsWithSheet="0"/>
      </xdr:twoCellAnchor>
    </mc:Choice>
    <mc:Fallback/>
  </mc:AlternateContent>
  <xdr:twoCellAnchor editAs="oneCell">
    <xdr:from>
      <xdr:col>0</xdr:col>
      <xdr:colOff>0</xdr:colOff>
      <xdr:row>13</xdr:row>
      <xdr:rowOff>0</xdr:rowOff>
    </xdr:from>
    <xdr:to>
      <xdr:col>1</xdr:col>
      <xdr:colOff>561975</xdr:colOff>
      <xdr:row>17</xdr:row>
      <xdr:rowOff>28575</xdr:rowOff>
    </xdr:to>
    <xdr:pic>
      <xdr:nvPicPr>
        <xdr:cNvPr id="19472" name="Picture 16">
          <a:extLst>
            <a:ext uri="{FF2B5EF4-FFF2-40B4-BE49-F238E27FC236}">
              <a16:creationId xmlns:a16="http://schemas.microsoft.com/office/drawing/2014/main" id="{B0DA1FE5-D4B8-88F0-C57A-08E5565EFB9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3000375"/>
          <a:ext cx="838200" cy="7905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0</xdr:colOff>
      <xdr:row>3</xdr:row>
      <xdr:rowOff>0</xdr:rowOff>
    </xdr:from>
    <xdr:to>
      <xdr:col>7</xdr:col>
      <xdr:colOff>838200</xdr:colOff>
      <xdr:row>6</xdr:row>
      <xdr:rowOff>104775</xdr:rowOff>
    </xdr:to>
    <xdr:pic>
      <xdr:nvPicPr>
        <xdr:cNvPr id="19473" name="Picture 17">
          <a:extLst>
            <a:ext uri="{FF2B5EF4-FFF2-40B4-BE49-F238E27FC236}">
              <a16:creationId xmlns:a16="http://schemas.microsoft.com/office/drawing/2014/main" id="{330F7B29-D907-A994-4F01-664F7CF68B4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743575" y="723900"/>
          <a:ext cx="838200" cy="7905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0</xdr:colOff>
      <xdr:row>3</xdr:row>
      <xdr:rowOff>0</xdr:rowOff>
    </xdr:from>
    <xdr:to>
      <xdr:col>8</xdr:col>
      <xdr:colOff>838200</xdr:colOff>
      <xdr:row>6</xdr:row>
      <xdr:rowOff>104775</xdr:rowOff>
    </xdr:to>
    <xdr:pic>
      <xdr:nvPicPr>
        <xdr:cNvPr id="2" name="Picture 18">
          <a:extLst>
            <a:ext uri="{FF2B5EF4-FFF2-40B4-BE49-F238E27FC236}">
              <a16:creationId xmlns:a16="http://schemas.microsoft.com/office/drawing/2014/main" id="{A684404B-A423-7D33-67E4-443F5C20AAA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29400" y="723900"/>
          <a:ext cx="838200" cy="7905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2181225</xdr:colOff>
          <xdr:row>0</xdr:row>
          <xdr:rowOff>0</xdr:rowOff>
        </xdr:from>
        <xdr:to>
          <xdr:col>2</xdr:col>
          <xdr:colOff>0</xdr:colOff>
          <xdr:row>3</xdr:row>
          <xdr:rowOff>0</xdr:rowOff>
        </xdr:to>
        <xdr:sp macro="" textlink="">
          <xdr:nvSpPr>
            <xdr:cNvPr id="15361" name="Button 1" hidden="1">
              <a:extLst>
                <a:ext uri="{63B3BB69-23CF-44E3-9099-C40C66FF867C}">
                  <a14:compatExt spid="_x0000_s15361"/>
                </a:ext>
                <a:ext uri="{FF2B5EF4-FFF2-40B4-BE49-F238E27FC236}">
                  <a16:creationId xmlns:a16="http://schemas.microsoft.com/office/drawing/2014/main" id="{00000000-0008-0000-0400-0000013C0000}"/>
                </a:ext>
              </a:extLst>
            </xdr:cNvPr>
            <xdr:cNvSpPr/>
          </xdr:nvSpPr>
          <xdr:spPr bwMode="auto">
            <a:xfrm>
              <a:off x="0" y="0"/>
              <a:ext cx="0" cy="0"/>
            </a:xfrm>
            <a:prstGeom prst="rect">
              <a:avLst/>
            </a:prstGeom>
            <a:noFill/>
            <a:ln w="9525">
              <a:miter lim="800000"/>
              <a:headEnd/>
              <a:tailEnd/>
            </a:ln>
          </xdr:spPr>
          <xdr:txBody>
            <a:bodyPr vertOverflow="clip" wrap="square" lIns="54864" tIns="27432" rIns="54864" bIns="27432" anchor="ctr" upright="1"/>
            <a:lstStyle/>
            <a:p>
              <a:pPr algn="ctr" rtl="0">
                <a:defRPr sz="1000"/>
              </a:pPr>
              <a:r>
                <a:rPr lang="ja-JP" altLang="en-US" sz="2200" b="1" i="0" u="none" strike="noStrike" baseline="0">
                  <a:solidFill>
                    <a:srgbClr val="000000"/>
                  </a:solidFill>
                  <a:latin typeface="HGS創英角ﾎﾟｯﾌﾟ体"/>
                  <a:ea typeface="HGS創英角ﾎﾟｯﾌﾟ体"/>
                </a:rPr>
                <a:t>要求管理ﾌｫｰﾑ</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105</xdr:col>
      <xdr:colOff>0</xdr:colOff>
      <xdr:row>21</xdr:row>
      <xdr:rowOff>257735</xdr:rowOff>
    </xdr:from>
    <xdr:ext cx="2866058" cy="5322794"/>
    <xdr:pic>
      <xdr:nvPicPr>
        <xdr:cNvPr id="2" name="図 1">
          <a:extLst>
            <a:ext uri="{FF2B5EF4-FFF2-40B4-BE49-F238E27FC236}">
              <a16:creationId xmlns:a16="http://schemas.microsoft.com/office/drawing/2014/main" id="{00000000-0008-0000-05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589559" y="5390029"/>
          <a:ext cx="2866058" cy="5322794"/>
        </a:xfrm>
        <a:prstGeom prst="rect">
          <a:avLst/>
        </a:prstGeom>
        <a:noFill/>
        <a:ln w="12700">
          <a:solidFill>
            <a:schemeClr val="tx1"/>
          </a:solidFill>
          <a:prstDash val="sysDash"/>
        </a:ln>
        <a:extLst>
          <a:ext uri="{909E8E84-426E-40DD-AFC4-6F175D3DCCD1}">
            <a14:hiddenFill xmlns:a14="http://schemas.microsoft.com/office/drawing/2010/main">
              <a:solidFill>
                <a:srgbClr val="FFFFFF"/>
              </a:solidFill>
            </a14:hiddenFill>
          </a:ext>
        </a:extLst>
      </xdr:spPr>
    </xdr:pic>
    <xdr:clientData/>
  </xdr:oneCellAnchor>
  <xdr:oneCellAnchor>
    <xdr:from>
      <xdr:col>105</xdr:col>
      <xdr:colOff>0</xdr:colOff>
      <xdr:row>41</xdr:row>
      <xdr:rowOff>257735</xdr:rowOff>
    </xdr:from>
    <xdr:ext cx="2879300" cy="4378059"/>
    <xdr:pic>
      <xdr:nvPicPr>
        <xdr:cNvPr id="3" name="図 2">
          <a:extLst>
            <a:ext uri="{FF2B5EF4-FFF2-40B4-BE49-F238E27FC236}">
              <a16:creationId xmlns:a16="http://schemas.microsoft.com/office/drawing/2014/main" id="{00000000-0008-0000-05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0589559" y="10992970"/>
          <a:ext cx="2879300" cy="4378059"/>
        </a:xfrm>
        <a:prstGeom prst="rect">
          <a:avLst/>
        </a:prstGeom>
        <a:noFill/>
        <a:ln w="12700">
          <a:solidFill>
            <a:schemeClr val="tx1"/>
          </a:solidFill>
          <a:prstDash val="sysDot"/>
        </a:ln>
        <a:extLst>
          <a:ext uri="{909E8E84-426E-40DD-AFC4-6F175D3DCCD1}">
            <a14:hiddenFill xmlns:a14="http://schemas.microsoft.com/office/drawing/2010/main">
              <a:solidFill>
                <a:srgbClr val="FFFFFF"/>
              </a:solidFill>
            </a14:hiddenFill>
          </a:ext>
        </a:extLst>
      </xdr:spPr>
    </xdr:pic>
    <xdr:clientData/>
  </xdr:oneCellAnchor>
</xdr:wsDr>
</file>

<file path=xl/drawings/drawing4.xml><?xml version="1.0" encoding="utf-8"?>
<xdr:wsDr xmlns:xdr="http://schemas.openxmlformats.org/drawingml/2006/spreadsheetDrawing" xmlns:a="http://schemas.openxmlformats.org/drawingml/2006/main">
  <xdr:oneCellAnchor>
    <xdr:from>
      <xdr:col>105</xdr:col>
      <xdr:colOff>0</xdr:colOff>
      <xdr:row>21</xdr:row>
      <xdr:rowOff>257735</xdr:rowOff>
    </xdr:from>
    <xdr:ext cx="2866058" cy="5322794"/>
    <xdr:pic>
      <xdr:nvPicPr>
        <xdr:cNvPr id="2" name="図 1">
          <a:extLst>
            <a:ext uri="{FF2B5EF4-FFF2-40B4-BE49-F238E27FC236}">
              <a16:creationId xmlns:a16="http://schemas.microsoft.com/office/drawing/2014/main" id="{77BC6F87-1077-4826-B66D-4BC0DECEE39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029825" y="5353610"/>
          <a:ext cx="2866058" cy="5322794"/>
        </a:xfrm>
        <a:prstGeom prst="rect">
          <a:avLst/>
        </a:prstGeom>
        <a:noFill/>
        <a:ln w="12700">
          <a:solidFill>
            <a:schemeClr val="tx1"/>
          </a:solidFill>
          <a:prstDash val="sysDash"/>
        </a:ln>
        <a:extLst>
          <a:ext uri="{909E8E84-426E-40DD-AFC4-6F175D3DCCD1}">
            <a14:hiddenFill xmlns:a14="http://schemas.microsoft.com/office/drawing/2010/main">
              <a:solidFill>
                <a:srgbClr val="FFFFFF"/>
              </a:solidFill>
            </a14:hiddenFill>
          </a:ext>
        </a:extLst>
      </xdr:spPr>
    </xdr:pic>
    <xdr:clientData/>
  </xdr:oneCellAnchor>
  <xdr:oneCellAnchor>
    <xdr:from>
      <xdr:col>105</xdr:col>
      <xdr:colOff>0</xdr:colOff>
      <xdr:row>28</xdr:row>
      <xdr:rowOff>78441</xdr:rowOff>
    </xdr:from>
    <xdr:ext cx="2879300" cy="4378059"/>
    <xdr:pic>
      <xdr:nvPicPr>
        <xdr:cNvPr id="3" name="図 2">
          <a:extLst>
            <a:ext uri="{FF2B5EF4-FFF2-40B4-BE49-F238E27FC236}">
              <a16:creationId xmlns:a16="http://schemas.microsoft.com/office/drawing/2014/main" id="{B181515F-B9BC-4ABA-A761-C84CC1D040E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0029825" y="7107891"/>
          <a:ext cx="2879300" cy="4378059"/>
        </a:xfrm>
        <a:prstGeom prst="rect">
          <a:avLst/>
        </a:prstGeom>
        <a:noFill/>
        <a:ln w="12700">
          <a:solidFill>
            <a:schemeClr val="tx1"/>
          </a:solidFill>
          <a:prstDash val="sysDot"/>
        </a:ln>
        <a:extLst>
          <a:ext uri="{909E8E84-426E-40DD-AFC4-6F175D3DCCD1}">
            <a14:hiddenFill xmlns:a14="http://schemas.microsoft.com/office/drawing/2010/main">
              <a:solidFill>
                <a:srgbClr val="FFFFFF"/>
              </a:solidFill>
            </a14:hiddenFill>
          </a:ext>
        </a:extLst>
      </xdr:spPr>
    </xdr:pic>
    <xdr:clientData/>
  </xdr:oneCellAnchor>
</xdr:wsDr>
</file>

<file path=xl/theme/theme1.xml><?xml version="1.0" encoding="utf-8"?>
<a:theme xmlns:a="http://schemas.openxmlformats.org/drawingml/2006/main" name="Office 2013 - 2022 テーマ">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3" Type="http://schemas.openxmlformats.org/officeDocument/2006/relationships/hyperlink" Target="mailto:taka-fujiwara@krone.co.jp" TargetMode="External"/><Relationship Id="rId18" Type="http://schemas.openxmlformats.org/officeDocument/2006/relationships/hyperlink" Target="mailto:tetsuya-doi@krone.co.jp;taka-fujiwara@krone.co.jp;h-araki@krone.co.jp" TargetMode="External"/><Relationship Id="rId26" Type="http://schemas.openxmlformats.org/officeDocument/2006/relationships/hyperlink" Target="mailto:t-yotsukura@krone.co.jp;eri-tokunaga@krone.co.jp" TargetMode="External"/><Relationship Id="rId21" Type="http://schemas.openxmlformats.org/officeDocument/2006/relationships/hyperlink" Target="mailto:t-yotsukura@krone.co.jp;h.takahashi@krone.co.jp" TargetMode="External"/><Relationship Id="rId34" Type="http://schemas.openxmlformats.org/officeDocument/2006/relationships/hyperlink" Target="mailto:as@krone.co.jp" TargetMode="External"/><Relationship Id="rId7" Type="http://schemas.openxmlformats.org/officeDocument/2006/relationships/hyperlink" Target="mailto:t-yotsukura@krone.co.jp;h-araki@krone.co.jp" TargetMode="External"/><Relationship Id="rId12" Type="http://schemas.openxmlformats.org/officeDocument/2006/relationships/hyperlink" Target="mailto:tetsuya-doi@krone.co.jp" TargetMode="External"/><Relationship Id="rId17" Type="http://schemas.openxmlformats.org/officeDocument/2006/relationships/hyperlink" Target="mailto:taka-fujiwara@krone.co.jp" TargetMode="External"/><Relationship Id="rId25" Type="http://schemas.openxmlformats.org/officeDocument/2006/relationships/hyperlink" Target="mailto:h-araki@krone.co.jp;takashi-hyodo@krone.co.jp;h.takahashi@krone.co.jp;taka-fujiwara@krone.co.jp" TargetMode="External"/><Relationship Id="rId33" Type="http://schemas.openxmlformats.org/officeDocument/2006/relationships/hyperlink" Target="mailto:fujiwara@krone.co.jp;" TargetMode="External"/><Relationship Id="rId38" Type="http://schemas.openxmlformats.org/officeDocument/2006/relationships/printerSettings" Target="../printerSettings/printerSettings3.bin"/><Relationship Id="rId2" Type="http://schemas.openxmlformats.org/officeDocument/2006/relationships/hyperlink" Target="mailto:tetsuya-doi@krone.co.jp" TargetMode="External"/><Relationship Id="rId16" Type="http://schemas.openxmlformats.org/officeDocument/2006/relationships/hyperlink" Target="mailto:tetsuya-doi@krone.co.jp" TargetMode="External"/><Relationship Id="rId20" Type="http://schemas.openxmlformats.org/officeDocument/2006/relationships/hyperlink" Target="mailto:tetsuya-doi@krone.co.jp;taka-fujiwara@krone.co.jp;h-araki@krone.co.jp" TargetMode="External"/><Relationship Id="rId29" Type="http://schemas.openxmlformats.org/officeDocument/2006/relationships/hyperlink" Target="mailto:tetsuya-doi@krone.co.jp;taka-fujiwara@krone.co.jp;h-araki@krone.co.jp" TargetMode="External"/><Relationship Id="rId1" Type="http://schemas.openxmlformats.org/officeDocument/2006/relationships/hyperlink" Target="mailto:tetsuya-doi@krone.co.jp;masaru-yoshida@krone.co.jp" TargetMode="External"/><Relationship Id="rId6" Type="http://schemas.openxmlformats.org/officeDocument/2006/relationships/hyperlink" Target="mailto:t-yotsukura@krone.co.jp;h.takahashi@krone.co.jp" TargetMode="External"/><Relationship Id="rId11" Type="http://schemas.openxmlformats.org/officeDocument/2006/relationships/hyperlink" Target="mailto:t-yotsukura@krone.co.jp;h.takahashi@krone.co.jp" TargetMode="External"/><Relationship Id="rId24" Type="http://schemas.openxmlformats.org/officeDocument/2006/relationships/hyperlink" Target="mailto:tetsuya-doi@krone.co.jp;taka-fujiwara@krone.co.jp;h-araki@krone.co.jp" TargetMode="External"/><Relationship Id="rId32" Type="http://schemas.openxmlformats.org/officeDocument/2006/relationships/hyperlink" Target="mailto:as@krone.co.jp" TargetMode="External"/><Relationship Id="rId37" Type="http://schemas.openxmlformats.org/officeDocument/2006/relationships/hyperlink" Target="mailto:fujiwara@krone.co.jp;" TargetMode="External"/><Relationship Id="rId5" Type="http://schemas.openxmlformats.org/officeDocument/2006/relationships/hyperlink" Target="mailto:masaru-yoshida@krone.co.jp;m-matsuya@krone.co.jp;h-kato@krone.co.jp;y-honma@krone.co.jp;yuji-yamashita@krone.co.jp" TargetMode="External"/><Relationship Id="rId15" Type="http://schemas.openxmlformats.org/officeDocument/2006/relationships/hyperlink" Target="mailto:taka-fujiwara@krone.co.jp" TargetMode="External"/><Relationship Id="rId23" Type="http://schemas.openxmlformats.org/officeDocument/2006/relationships/hyperlink" Target="mailto:t-yotsukura@krone.co.jp;h.takahashi@krone.co.jp" TargetMode="External"/><Relationship Id="rId28" Type="http://schemas.openxmlformats.org/officeDocument/2006/relationships/hyperlink" Target="mailto:tetsuya-doi@krone.co.jp;taka-fujiwara@krone.co.jp;h-araki@krone.co.jp" TargetMode="External"/><Relationship Id="rId36" Type="http://schemas.openxmlformats.org/officeDocument/2006/relationships/hyperlink" Target="mailto:fujiwara@krone.co.jp;" TargetMode="External"/><Relationship Id="rId10" Type="http://schemas.openxmlformats.org/officeDocument/2006/relationships/hyperlink" Target="mailto:taka-fujiwara@krone.co.jp" TargetMode="External"/><Relationship Id="rId19" Type="http://schemas.openxmlformats.org/officeDocument/2006/relationships/hyperlink" Target="mailto:t-yotsukura@krone.co.jp;h.takahashi@krone.co.jp" TargetMode="External"/><Relationship Id="rId31" Type="http://schemas.openxmlformats.org/officeDocument/2006/relationships/hyperlink" Target="mailto:t-yotsukura@krone.co.jp;eri-tokunaga@krone.co.jp" TargetMode="External"/><Relationship Id="rId4" Type="http://schemas.openxmlformats.org/officeDocument/2006/relationships/hyperlink" Target="mailto:taka-fujiwara@krone.co.jp" TargetMode="External"/><Relationship Id="rId9" Type="http://schemas.openxmlformats.org/officeDocument/2006/relationships/hyperlink" Target="mailto:tetsuya-doi@krone.co.jp;masaru-yoshida@krone.co.jp" TargetMode="External"/><Relationship Id="rId14" Type="http://schemas.openxmlformats.org/officeDocument/2006/relationships/hyperlink" Target="mailto:tetsuya-doi@krone.co.jp" TargetMode="External"/><Relationship Id="rId22" Type="http://schemas.openxmlformats.org/officeDocument/2006/relationships/hyperlink" Target="mailto:tetsuya-doi@krone.co.jp;taka-fujiwara@krone.co.jp;h-araki@krone.co.jp" TargetMode="External"/><Relationship Id="rId27" Type="http://schemas.openxmlformats.org/officeDocument/2006/relationships/hyperlink" Target="mailto:tetsuya-doi@krone.co.jp;taka-fujiwara@krone.co.jp;h-araki@krone.co.jp" TargetMode="External"/><Relationship Id="rId30" Type="http://schemas.openxmlformats.org/officeDocument/2006/relationships/hyperlink" Target="mailto:t-yotsukura@krone.co.jp;eri-tokunaga@krone.co.jp" TargetMode="External"/><Relationship Id="rId35" Type="http://schemas.openxmlformats.org/officeDocument/2006/relationships/hyperlink" Target="mailto:as@krone.co.jp" TargetMode="External"/><Relationship Id="rId8" Type="http://schemas.openxmlformats.org/officeDocument/2006/relationships/hyperlink" Target="mailto:masaru-yoshida@krone.co.jp;m-matsuya@krone.co.jp;h-kato@krone.co.jp;y-honma@krone.co.jp;h-araki@krone.co.jp" TargetMode="External"/><Relationship Id="rId3" Type="http://schemas.openxmlformats.org/officeDocument/2006/relationships/hyperlink" Target="mailto:taka-fujiwara@krone.co.jp" TargetMode="Externa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4.bin"/><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51AA4A-E2AB-4450-B641-053AFDBABE79}">
  <sheetPr codeName="Sheet4"/>
  <dimension ref="B1:AF177"/>
  <sheetViews>
    <sheetView tabSelected="1" view="pageBreakPreview" zoomScale="75" zoomScaleNormal="85" zoomScaleSheetLayoutView="75" workbookViewId="0">
      <selection activeCell="A14" sqref="A14:XFD50"/>
    </sheetView>
  </sheetViews>
  <sheetFormatPr defaultColWidth="9" defaultRowHeight="13.5"/>
  <cols>
    <col min="1" max="1" width="3.625" style="1" customWidth="1"/>
    <col min="2" max="3" width="12.625" style="1" customWidth="1"/>
    <col min="4" max="9" width="11.625" style="1" customWidth="1"/>
    <col min="10" max="10" width="1.5" style="1" customWidth="1"/>
    <col min="11" max="11" width="4.625" style="62" customWidth="1"/>
    <col min="12" max="19" width="9" style="1"/>
    <col min="20" max="20" width="32.25" style="1" customWidth="1"/>
    <col min="21" max="16384" width="9" style="1"/>
  </cols>
  <sheetData>
    <row r="1" spans="2:32" ht="21" customHeight="1" thickBot="1">
      <c r="B1" s="188" t="s">
        <v>248</v>
      </c>
      <c r="C1" s="189"/>
      <c r="D1" s="189"/>
      <c r="E1" s="189"/>
      <c r="F1" s="189"/>
      <c r="G1" s="189"/>
      <c r="H1" s="189"/>
      <c r="I1" s="87" t="s">
        <v>102</v>
      </c>
      <c r="O1" s="186" t="s">
        <v>97</v>
      </c>
      <c r="P1" s="186"/>
      <c r="Q1" s="190" t="s">
        <v>1709</v>
      </c>
      <c r="R1" s="190"/>
      <c r="S1" s="190"/>
      <c r="T1" s="190"/>
    </row>
    <row r="2" spans="2:32" ht="18" customHeight="1">
      <c r="B2" s="116" t="s">
        <v>16</v>
      </c>
      <c r="C2" s="196" t="s">
        <v>750</v>
      </c>
      <c r="D2" s="196"/>
      <c r="E2" s="117" t="s">
        <v>234</v>
      </c>
      <c r="F2" s="196" t="s">
        <v>1707</v>
      </c>
      <c r="G2" s="197"/>
      <c r="H2" s="192" t="s">
        <v>50</v>
      </c>
      <c r="I2" s="193"/>
      <c r="J2" s="65"/>
      <c r="K2" s="94"/>
      <c r="O2" s="186" t="s">
        <v>0</v>
      </c>
      <c r="P2" s="186"/>
      <c r="Q2" s="190" t="s">
        <v>38</v>
      </c>
      <c r="R2" s="190"/>
      <c r="S2" s="191"/>
      <c r="T2" s="190"/>
    </row>
    <row r="3" spans="2:32" ht="18" customHeight="1">
      <c r="B3" s="114" t="s">
        <v>91</v>
      </c>
      <c r="C3" s="198" t="s">
        <v>1708</v>
      </c>
      <c r="D3" s="198"/>
      <c r="E3" s="198"/>
      <c r="F3" s="198"/>
      <c r="G3" s="199"/>
      <c r="H3" s="66" t="s">
        <v>42</v>
      </c>
      <c r="I3" s="86" t="s">
        <v>43</v>
      </c>
      <c r="J3" s="65"/>
      <c r="K3" s="94"/>
      <c r="O3" s="186" t="s">
        <v>218</v>
      </c>
      <c r="P3" s="186"/>
      <c r="Q3" s="190" t="s">
        <v>1711</v>
      </c>
      <c r="R3" s="190"/>
      <c r="S3" s="191"/>
      <c r="T3" s="190"/>
    </row>
    <row r="4" spans="2:32" ht="18" customHeight="1">
      <c r="B4" s="114" t="s">
        <v>235</v>
      </c>
      <c r="C4" s="200" t="s">
        <v>38</v>
      </c>
      <c r="D4" s="200"/>
      <c r="E4" s="200"/>
      <c r="F4" s="200"/>
      <c r="G4" s="201"/>
      <c r="H4" s="190"/>
      <c r="I4" s="206"/>
      <c r="J4" s="67"/>
      <c r="K4" s="95"/>
      <c r="O4" s="186" t="s">
        <v>98</v>
      </c>
      <c r="P4" s="186"/>
      <c r="Q4" s="190" t="s">
        <v>1712</v>
      </c>
      <c r="R4" s="190"/>
      <c r="S4" s="191"/>
      <c r="T4" s="190"/>
    </row>
    <row r="5" spans="2:32" ht="18" customHeight="1">
      <c r="B5" s="114" t="s">
        <v>262</v>
      </c>
      <c r="C5" s="194" t="s">
        <v>749</v>
      </c>
      <c r="D5" s="194"/>
      <c r="E5" s="194"/>
      <c r="F5" s="194"/>
      <c r="G5" s="195"/>
      <c r="H5" s="190"/>
      <c r="I5" s="206"/>
      <c r="J5" s="68"/>
      <c r="K5" s="96"/>
      <c r="O5" s="186" t="s">
        <v>87</v>
      </c>
      <c r="P5" s="186"/>
      <c r="Q5" s="190" t="s">
        <v>1717</v>
      </c>
      <c r="R5" s="190"/>
      <c r="S5" s="191"/>
      <c r="T5" s="190"/>
    </row>
    <row r="6" spans="2:32" ht="18" customHeight="1">
      <c r="B6" s="202" t="s">
        <v>261</v>
      </c>
      <c r="C6" s="186" t="s">
        <v>1728</v>
      </c>
      <c r="D6" s="187"/>
      <c r="E6" s="187"/>
      <c r="F6" s="186" t="s">
        <v>1729</v>
      </c>
      <c r="G6" s="207"/>
      <c r="H6" s="190"/>
      <c r="I6" s="206"/>
      <c r="J6" s="68"/>
      <c r="K6" s="96"/>
      <c r="O6" s="186" t="s">
        <v>94</v>
      </c>
      <c r="P6" s="186"/>
      <c r="Q6" s="190" t="s">
        <v>1699</v>
      </c>
      <c r="R6" s="190"/>
      <c r="S6" s="191"/>
      <c r="T6" s="190"/>
    </row>
    <row r="7" spans="2:32" ht="18" customHeight="1">
      <c r="B7" s="203"/>
      <c r="C7" s="187"/>
      <c r="D7" s="187"/>
      <c r="E7" s="187"/>
      <c r="F7" s="187"/>
      <c r="G7" s="207"/>
      <c r="H7" s="190"/>
      <c r="I7" s="206"/>
      <c r="J7" s="68"/>
      <c r="K7" s="96"/>
      <c r="O7" s="186" t="s">
        <v>13</v>
      </c>
      <c r="P7" s="186"/>
      <c r="Q7" s="190" t="s">
        <v>38</v>
      </c>
      <c r="R7" s="190"/>
      <c r="S7" s="191"/>
      <c r="T7" s="190"/>
    </row>
    <row r="8" spans="2:32" ht="18" customHeight="1">
      <c r="B8" s="203"/>
      <c r="C8" s="187"/>
      <c r="D8" s="187"/>
      <c r="E8" s="187"/>
      <c r="F8" s="187"/>
      <c r="G8" s="207"/>
      <c r="H8" s="85" t="s">
        <v>238</v>
      </c>
      <c r="I8" s="110" t="s">
        <v>1708</v>
      </c>
      <c r="J8" s="68"/>
      <c r="K8" s="96"/>
      <c r="O8" s="186" t="s">
        <v>35</v>
      </c>
      <c r="P8" s="186"/>
      <c r="Q8" s="190" t="s">
        <v>1719</v>
      </c>
      <c r="R8" s="190"/>
      <c r="S8" s="191"/>
      <c r="T8" s="190"/>
    </row>
    <row r="9" spans="2:32" ht="17.25" customHeight="1">
      <c r="B9" s="203"/>
      <c r="C9" s="187"/>
      <c r="D9" s="187"/>
      <c r="E9" s="187"/>
      <c r="F9" s="187"/>
      <c r="G9" s="207"/>
      <c r="H9" s="112" t="s">
        <v>78</v>
      </c>
      <c r="I9" s="110" t="s">
        <v>1700</v>
      </c>
      <c r="J9" s="68"/>
      <c r="K9" s="97"/>
      <c r="O9" s="186" t="s">
        <v>99</v>
      </c>
      <c r="P9" s="186"/>
      <c r="Q9" s="190" t="s">
        <v>1721</v>
      </c>
      <c r="R9" s="190"/>
      <c r="S9" s="191"/>
      <c r="T9" s="190"/>
    </row>
    <row r="10" spans="2:32" ht="18" customHeight="1">
      <c r="B10" s="203"/>
      <c r="C10" s="187"/>
      <c r="D10" s="187"/>
      <c r="E10" s="187"/>
      <c r="F10" s="187"/>
      <c r="G10" s="207"/>
      <c r="H10" s="85" t="s">
        <v>239</v>
      </c>
      <c r="I10" s="113" t="s">
        <v>1718</v>
      </c>
      <c r="K10" s="96"/>
      <c r="O10" s="186" t="s">
        <v>100</v>
      </c>
      <c r="P10" s="186"/>
      <c r="Q10" s="190" t="s">
        <v>38</v>
      </c>
      <c r="R10" s="190"/>
      <c r="S10" s="191"/>
      <c r="T10" s="190"/>
    </row>
    <row r="11" spans="2:32" ht="18" customHeight="1">
      <c r="B11" s="203"/>
      <c r="C11" s="187"/>
      <c r="D11" s="187"/>
      <c r="E11" s="187"/>
      <c r="F11" s="187"/>
      <c r="G11" s="207"/>
      <c r="H11" s="112" t="s">
        <v>240</v>
      </c>
      <c r="I11" s="109" t="s">
        <v>1700</v>
      </c>
      <c r="K11" s="96"/>
      <c r="O11" s="186" t="s">
        <v>101</v>
      </c>
      <c r="P11" s="186"/>
      <c r="Q11" s="190" t="s">
        <v>38</v>
      </c>
      <c r="R11" s="190"/>
      <c r="S11" s="191"/>
      <c r="T11" s="190"/>
    </row>
    <row r="12" spans="2:32" ht="18" customHeight="1">
      <c r="B12" s="114" t="s">
        <v>93</v>
      </c>
      <c r="C12" s="107" t="s">
        <v>1715</v>
      </c>
      <c r="D12" s="85" t="s">
        <v>1</v>
      </c>
      <c r="E12" s="107" t="s">
        <v>519</v>
      </c>
      <c r="F12" s="85" t="s">
        <v>3</v>
      </c>
      <c r="G12" s="107" t="s">
        <v>1702</v>
      </c>
      <c r="H12" s="85" t="s">
        <v>44</v>
      </c>
      <c r="I12" s="111" t="s">
        <v>1720</v>
      </c>
      <c r="K12" s="97"/>
      <c r="O12" s="186" t="s">
        <v>30</v>
      </c>
      <c r="P12" s="186"/>
      <c r="Q12" s="190" t="s">
        <v>753</v>
      </c>
      <c r="R12" s="190"/>
      <c r="S12" s="191"/>
      <c r="T12" s="190"/>
      <c r="AE12" s="99"/>
      <c r="AF12" s="158"/>
    </row>
    <row r="13" spans="2:32" ht="18" customHeight="1">
      <c r="B13" s="115" t="s">
        <v>259</v>
      </c>
      <c r="C13" s="108" t="s">
        <v>11</v>
      </c>
      <c r="D13" s="190" t="s">
        <v>1716</v>
      </c>
      <c r="E13" s="187"/>
      <c r="F13" s="187"/>
      <c r="G13" s="207"/>
      <c r="H13" s="187"/>
      <c r="I13" s="208"/>
      <c r="K13" s="96"/>
      <c r="O13" s="186" t="s">
        <v>31</v>
      </c>
      <c r="P13" s="186"/>
      <c r="Q13" s="190" t="s">
        <v>1726</v>
      </c>
      <c r="R13" s="190"/>
      <c r="S13" s="191"/>
      <c r="T13" s="190"/>
    </row>
    <row r="14" spans="2:32" ht="15" customHeight="1">
      <c r="B14" s="230" t="s">
        <v>751</v>
      </c>
      <c r="C14" s="231"/>
      <c r="D14" s="231"/>
      <c r="E14" s="231"/>
      <c r="F14" s="231"/>
      <c r="G14" s="231"/>
      <c r="H14" s="231"/>
      <c r="I14" s="232"/>
      <c r="K14" s="96"/>
      <c r="O14" s="186" t="s">
        <v>36</v>
      </c>
      <c r="P14" s="186"/>
      <c r="Q14" s="190" t="s">
        <v>753</v>
      </c>
      <c r="R14" s="190"/>
      <c r="S14" s="191"/>
      <c r="T14" s="190"/>
    </row>
    <row r="15" spans="2:32" ht="15" customHeight="1">
      <c r="B15" s="233"/>
      <c r="C15" s="234"/>
      <c r="D15" s="234"/>
      <c r="E15" s="234"/>
      <c r="F15" s="234"/>
      <c r="G15" s="234"/>
      <c r="H15" s="234"/>
      <c r="I15" s="235"/>
      <c r="K15" s="96"/>
      <c r="O15" s="186" t="s">
        <v>86</v>
      </c>
      <c r="P15" s="186"/>
      <c r="Q15" s="190" t="s">
        <v>38</v>
      </c>
      <c r="R15" s="190"/>
      <c r="S15" s="191"/>
      <c r="T15" s="190"/>
    </row>
    <row r="16" spans="2:32" ht="15" customHeight="1">
      <c r="B16" s="236"/>
      <c r="C16" s="237"/>
      <c r="D16" s="237"/>
      <c r="E16" s="237"/>
      <c r="F16" s="237"/>
      <c r="G16" s="237"/>
      <c r="H16" s="237"/>
      <c r="I16" s="238"/>
      <c r="K16" s="96"/>
      <c r="O16" s="186" t="s">
        <v>215</v>
      </c>
      <c r="P16" s="186"/>
      <c r="Q16" s="190" t="s">
        <v>38</v>
      </c>
      <c r="R16" s="190"/>
      <c r="S16" s="191"/>
      <c r="T16" s="190"/>
    </row>
    <row r="17" spans="2:22" ht="15" customHeight="1">
      <c r="B17" s="227" t="s">
        <v>49</v>
      </c>
      <c r="C17" s="228"/>
      <c r="D17" s="228"/>
      <c r="E17" s="228"/>
      <c r="F17" s="228"/>
      <c r="G17" s="228"/>
      <c r="H17" s="228"/>
      <c r="I17" s="229"/>
      <c r="O17" s="186" t="s">
        <v>216</v>
      </c>
      <c r="P17" s="186"/>
      <c r="Q17" s="190" t="s">
        <v>38</v>
      </c>
      <c r="R17" s="190"/>
      <c r="S17" s="191"/>
      <c r="T17" s="190"/>
    </row>
    <row r="18" spans="2:22" ht="15" customHeight="1">
      <c r="B18" s="218" t="s">
        <v>1769</v>
      </c>
      <c r="C18" s="219"/>
      <c r="D18" s="219"/>
      <c r="E18" s="219"/>
      <c r="F18" s="219"/>
      <c r="G18" s="219"/>
      <c r="H18" s="219"/>
      <c r="I18" s="220"/>
      <c r="K18" s="98"/>
      <c r="O18" s="213" t="s">
        <v>232</v>
      </c>
      <c r="P18" s="214"/>
      <c r="Q18" s="209" t="s">
        <v>519</v>
      </c>
      <c r="R18" s="210"/>
      <c r="S18" s="211"/>
      <c r="T18" s="212"/>
    </row>
    <row r="19" spans="2:22" ht="15" customHeight="1">
      <c r="B19" s="221"/>
      <c r="C19" s="222"/>
      <c r="D19" s="222"/>
      <c r="E19" s="222"/>
      <c r="F19" s="222"/>
      <c r="G19" s="222"/>
      <c r="H19" s="222"/>
      <c r="I19" s="223"/>
      <c r="O19" s="213" t="s">
        <v>233</v>
      </c>
      <c r="P19" s="214"/>
      <c r="Q19" s="209" t="s">
        <v>519</v>
      </c>
      <c r="R19" s="210"/>
      <c r="S19" s="211"/>
      <c r="T19" s="212"/>
    </row>
    <row r="20" spans="2:22" ht="15" customHeight="1">
      <c r="B20" s="224"/>
      <c r="C20" s="225"/>
      <c r="D20" s="225"/>
      <c r="E20" s="225"/>
      <c r="F20" s="225"/>
      <c r="G20" s="225"/>
      <c r="H20" s="225"/>
      <c r="I20" s="226"/>
      <c r="O20" s="213" t="s">
        <v>230</v>
      </c>
      <c r="P20" s="214"/>
      <c r="Q20" s="215">
        <v>45267.688217592593</v>
      </c>
      <c r="R20" s="216"/>
      <c r="S20" s="211"/>
      <c r="T20" s="217"/>
    </row>
    <row r="21" spans="2:22" ht="15" customHeight="1">
      <c r="B21" s="227" t="s">
        <v>92</v>
      </c>
      <c r="C21" s="228"/>
      <c r="D21" s="228"/>
      <c r="E21" s="228"/>
      <c r="F21" s="228"/>
      <c r="G21" s="228"/>
      <c r="H21" s="228"/>
      <c r="I21" s="229"/>
      <c r="J21" s="62"/>
      <c r="O21" s="213" t="s">
        <v>231</v>
      </c>
      <c r="P21" s="214"/>
      <c r="Q21" s="215">
        <v>45932.694189814814</v>
      </c>
      <c r="R21" s="216"/>
      <c r="S21" s="211"/>
      <c r="T21" s="217"/>
    </row>
    <row r="22" spans="2:22" ht="15" customHeight="1">
      <c r="B22" s="230" t="s">
        <v>92</v>
      </c>
      <c r="C22" s="231"/>
      <c r="D22" s="231"/>
      <c r="E22" s="231"/>
      <c r="F22" s="231"/>
      <c r="G22" s="231"/>
      <c r="H22" s="231"/>
      <c r="I22" s="232"/>
      <c r="J22" s="62"/>
      <c r="O22" s="186" t="s">
        <v>229</v>
      </c>
      <c r="P22" s="186"/>
      <c r="Q22" s="190" t="s">
        <v>1727</v>
      </c>
      <c r="R22" s="190"/>
      <c r="S22" s="191"/>
      <c r="T22" s="190"/>
    </row>
    <row r="23" spans="2:22" ht="15" customHeight="1">
      <c r="B23" s="233"/>
      <c r="C23" s="234"/>
      <c r="D23" s="234"/>
      <c r="E23" s="234"/>
      <c r="F23" s="234"/>
      <c r="G23" s="234"/>
      <c r="H23" s="234"/>
      <c r="I23" s="235"/>
      <c r="J23" s="62"/>
      <c r="O23" s="186"/>
      <c r="P23" s="186"/>
      <c r="Q23" s="190"/>
      <c r="R23" s="190"/>
      <c r="S23" s="191"/>
      <c r="T23" s="190"/>
    </row>
    <row r="24" spans="2:22" ht="15" customHeight="1">
      <c r="B24" s="233"/>
      <c r="C24" s="234"/>
      <c r="D24" s="234"/>
      <c r="E24" s="234"/>
      <c r="F24" s="234"/>
      <c r="G24" s="234"/>
      <c r="H24" s="234"/>
      <c r="I24" s="235"/>
      <c r="O24" s="186"/>
      <c r="P24" s="186"/>
      <c r="Q24" s="190"/>
      <c r="R24" s="190"/>
      <c r="S24" s="191"/>
      <c r="T24" s="190"/>
    </row>
    <row r="25" spans="2:22" ht="15" customHeight="1">
      <c r="B25" s="233"/>
      <c r="C25" s="234"/>
      <c r="D25" s="234"/>
      <c r="E25" s="234"/>
      <c r="F25" s="234"/>
      <c r="G25" s="234"/>
      <c r="H25" s="234"/>
      <c r="I25" s="235"/>
      <c r="O25" s="186"/>
      <c r="P25" s="186"/>
      <c r="Q25" s="190"/>
      <c r="R25" s="190"/>
      <c r="S25" s="191"/>
      <c r="T25" s="190"/>
    </row>
    <row r="26" spans="2:22" ht="15" customHeight="1">
      <c r="B26" s="233"/>
      <c r="C26" s="234"/>
      <c r="D26" s="234"/>
      <c r="E26" s="234"/>
      <c r="F26" s="234"/>
      <c r="G26" s="234"/>
      <c r="H26" s="234"/>
      <c r="I26" s="235"/>
      <c r="J26" s="62"/>
      <c r="O26" s="186" t="s">
        <v>22</v>
      </c>
      <c r="P26" s="186"/>
      <c r="Q26" s="266" t="s">
        <v>1724</v>
      </c>
      <c r="R26" s="266"/>
      <c r="S26" s="267"/>
      <c r="T26" s="266"/>
      <c r="U26" s="99"/>
      <c r="V26" s="99"/>
    </row>
    <row r="27" spans="2:22" ht="15" customHeight="1">
      <c r="B27" s="233"/>
      <c r="C27" s="234"/>
      <c r="D27" s="234"/>
      <c r="E27" s="234"/>
      <c r="F27" s="234"/>
      <c r="G27" s="234"/>
      <c r="H27" s="234"/>
      <c r="I27" s="235"/>
      <c r="J27" s="62"/>
      <c r="O27" s="186"/>
      <c r="P27" s="186"/>
      <c r="Q27" s="266"/>
      <c r="R27" s="266"/>
      <c r="S27" s="267"/>
      <c r="T27" s="266"/>
    </row>
    <row r="28" spans="2:22" ht="15" customHeight="1">
      <c r="B28" s="236"/>
      <c r="C28" s="237"/>
      <c r="D28" s="237"/>
      <c r="E28" s="237"/>
      <c r="F28" s="237"/>
      <c r="G28" s="237"/>
      <c r="H28" s="237"/>
      <c r="I28" s="238"/>
      <c r="J28" s="62"/>
      <c r="O28" s="204" t="s">
        <v>214</v>
      </c>
      <c r="P28" s="205"/>
      <c r="Q28" s="268" t="s">
        <v>1706</v>
      </c>
      <c r="R28" s="269"/>
      <c r="S28" s="270"/>
      <c r="T28" s="269"/>
      <c r="U28" s="125"/>
    </row>
    <row r="29" spans="2:22" ht="15" customHeight="1">
      <c r="B29" s="227" t="s">
        <v>39</v>
      </c>
      <c r="C29" s="228"/>
      <c r="D29" s="228"/>
      <c r="E29" s="228"/>
      <c r="F29" s="228"/>
      <c r="G29" s="228"/>
      <c r="H29" s="228"/>
      <c r="I29" s="229"/>
      <c r="O29" s="143" t="s">
        <v>42</v>
      </c>
      <c r="P29" s="143" t="s">
        <v>43</v>
      </c>
      <c r="Q29" s="135" t="s">
        <v>1725</v>
      </c>
      <c r="R29" s="135" t="s">
        <v>1725</v>
      </c>
      <c r="S29" s="127"/>
      <c r="T29" s="128"/>
    </row>
    <row r="30" spans="2:22" ht="15" customHeight="1">
      <c r="B30" s="230" t="s">
        <v>39</v>
      </c>
      <c r="C30" s="231"/>
      <c r="D30" s="231"/>
      <c r="E30" s="231"/>
      <c r="F30" s="231"/>
      <c r="G30" s="231"/>
      <c r="H30" s="231"/>
      <c r="I30" s="232"/>
      <c r="O30" s="136"/>
      <c r="P30" s="141" t="s">
        <v>497</v>
      </c>
      <c r="Q30" s="137" t="s">
        <v>38</v>
      </c>
      <c r="R30" s="138"/>
      <c r="S30" s="139"/>
      <c r="T30" s="140"/>
    </row>
    <row r="31" spans="2:22" ht="15" customHeight="1">
      <c r="B31" s="233"/>
      <c r="C31" s="234"/>
      <c r="D31" s="234"/>
      <c r="E31" s="234"/>
      <c r="F31" s="234"/>
      <c r="G31" s="234"/>
      <c r="H31" s="234"/>
      <c r="I31" s="235"/>
      <c r="O31" s="90"/>
      <c r="Q31" s="126"/>
      <c r="R31" s="126"/>
      <c r="S31" s="100"/>
      <c r="T31" s="129"/>
    </row>
    <row r="32" spans="2:22" ht="15" customHeight="1">
      <c r="B32" s="233"/>
      <c r="C32" s="234"/>
      <c r="D32" s="234"/>
      <c r="E32" s="234"/>
      <c r="F32" s="234"/>
      <c r="G32" s="234"/>
      <c r="H32" s="234"/>
      <c r="I32" s="235"/>
      <c r="O32" s="130"/>
      <c r="P32" s="131"/>
      <c r="Q32" s="132"/>
      <c r="R32" s="132"/>
      <c r="S32" s="133"/>
      <c r="T32" s="134"/>
    </row>
    <row r="33" spans="2:20" ht="15" customHeight="1">
      <c r="B33" s="233"/>
      <c r="C33" s="234"/>
      <c r="D33" s="234"/>
      <c r="E33" s="234"/>
      <c r="F33" s="234"/>
      <c r="G33" s="234"/>
      <c r="H33" s="234"/>
      <c r="I33" s="235"/>
      <c r="O33" s="264" t="s">
        <v>244</v>
      </c>
      <c r="P33" s="265"/>
      <c r="Q33" s="262" t="s">
        <v>38</v>
      </c>
      <c r="R33" s="263"/>
      <c r="S33" s="263"/>
      <c r="T33" s="263"/>
    </row>
    <row r="34" spans="2:20" ht="15" customHeight="1">
      <c r="B34" s="233"/>
      <c r="C34" s="234"/>
      <c r="D34" s="234"/>
      <c r="E34" s="234"/>
      <c r="F34" s="234"/>
      <c r="G34" s="234"/>
      <c r="H34" s="234"/>
      <c r="I34" s="235"/>
      <c r="O34" s="258" t="s">
        <v>245</v>
      </c>
      <c r="P34" s="259"/>
      <c r="Q34" s="260" t="s">
        <v>38</v>
      </c>
      <c r="R34" s="261"/>
      <c r="S34" s="261"/>
      <c r="T34" s="261"/>
    </row>
    <row r="35" spans="2:20" ht="15" customHeight="1">
      <c r="B35" s="233"/>
      <c r="C35" s="234"/>
      <c r="D35" s="234"/>
      <c r="E35" s="234"/>
      <c r="F35" s="234"/>
      <c r="G35" s="234"/>
      <c r="H35" s="234"/>
      <c r="I35" s="235"/>
      <c r="O35" s="213" t="s">
        <v>260</v>
      </c>
      <c r="P35" s="257"/>
      <c r="Q35" s="254" t="s">
        <v>1710</v>
      </c>
      <c r="R35" s="255"/>
      <c r="S35" s="254"/>
      <c r="T35" s="256"/>
    </row>
    <row r="36" spans="2:20" ht="15" customHeight="1">
      <c r="B36" s="233"/>
      <c r="C36" s="234"/>
      <c r="D36" s="234"/>
      <c r="E36" s="234"/>
      <c r="F36" s="234"/>
      <c r="G36" s="234"/>
      <c r="H36" s="234"/>
      <c r="I36" s="235"/>
      <c r="O36" s="130"/>
      <c r="P36" s="144" t="s">
        <v>236</v>
      </c>
      <c r="Q36" s="247" t="s">
        <v>119</v>
      </c>
      <c r="R36" s="247"/>
      <c r="S36" s="131"/>
      <c r="T36" s="142"/>
    </row>
    <row r="37" spans="2:20" ht="15" customHeight="1">
      <c r="B37" s="233"/>
      <c r="C37" s="234"/>
      <c r="D37" s="234"/>
      <c r="E37" s="234"/>
      <c r="F37" s="234"/>
      <c r="G37" s="234"/>
      <c r="H37" s="234"/>
      <c r="I37" s="235"/>
      <c r="O37" s="130"/>
      <c r="P37" s="145" t="s">
        <v>237</v>
      </c>
      <c r="Q37" s="247" t="s">
        <v>38</v>
      </c>
      <c r="R37" s="248"/>
      <c r="S37" s="131"/>
      <c r="T37" s="142"/>
    </row>
    <row r="38" spans="2:20" ht="15" customHeight="1">
      <c r="B38" s="233"/>
      <c r="C38" s="234"/>
      <c r="D38" s="234"/>
      <c r="E38" s="234"/>
      <c r="F38" s="234"/>
      <c r="G38" s="234"/>
      <c r="H38" s="234"/>
      <c r="I38" s="235"/>
      <c r="O38" s="186" t="s">
        <v>549</v>
      </c>
      <c r="P38" s="187"/>
      <c r="Q38" s="186" t="s">
        <v>1722</v>
      </c>
      <c r="R38" s="187"/>
      <c r="S38" s="187"/>
      <c r="T38" s="187"/>
    </row>
    <row r="39" spans="2:20" ht="15" customHeight="1">
      <c r="B39" s="233"/>
      <c r="C39" s="234"/>
      <c r="D39" s="234"/>
      <c r="E39" s="234"/>
      <c r="F39" s="234"/>
      <c r="G39" s="234"/>
      <c r="H39" s="234"/>
      <c r="I39" s="235"/>
      <c r="O39" s="186" t="s">
        <v>550</v>
      </c>
      <c r="P39" s="187"/>
      <c r="Q39" s="186" t="s">
        <v>1723</v>
      </c>
      <c r="R39" s="187"/>
      <c r="S39" s="187"/>
      <c r="T39" s="187"/>
    </row>
    <row r="40" spans="2:20" ht="15" customHeight="1">
      <c r="B40" s="233"/>
      <c r="C40" s="234"/>
      <c r="D40" s="234"/>
      <c r="E40" s="234"/>
      <c r="F40" s="234"/>
      <c r="G40" s="234"/>
      <c r="H40" s="234"/>
      <c r="I40" s="235"/>
      <c r="O40" s="186" t="s">
        <v>1675</v>
      </c>
      <c r="P40" s="187"/>
      <c r="Q40" s="186" t="s">
        <v>1730</v>
      </c>
      <c r="R40" s="187"/>
      <c r="S40" s="187"/>
      <c r="T40" s="187"/>
    </row>
    <row r="41" spans="2:20" ht="15" customHeight="1">
      <c r="B41" s="236"/>
      <c r="C41" s="237"/>
      <c r="D41" s="237"/>
      <c r="E41" s="237"/>
      <c r="F41" s="237"/>
      <c r="G41" s="237"/>
      <c r="H41" s="237"/>
      <c r="I41" s="238"/>
    </row>
    <row r="42" spans="2:20" ht="15" customHeight="1">
      <c r="B42" s="227" t="s">
        <v>242</v>
      </c>
      <c r="C42" s="228"/>
      <c r="D42" s="228"/>
      <c r="E42" s="250"/>
      <c r="F42" s="251" t="s">
        <v>311</v>
      </c>
      <c r="G42" s="252"/>
      <c r="H42" s="252"/>
      <c r="I42" s="253"/>
      <c r="M42" s="249"/>
      <c r="N42" s="249"/>
      <c r="O42" s="249"/>
      <c r="P42" s="249"/>
    </row>
    <row r="43" spans="2:20" ht="15" customHeight="1">
      <c r="B43" s="271" t="s">
        <v>310</v>
      </c>
      <c r="C43" s="272"/>
      <c r="D43" s="272"/>
      <c r="E43" s="273"/>
      <c r="F43" s="251" t="s">
        <v>1701</v>
      </c>
      <c r="G43" s="252"/>
      <c r="H43" s="252"/>
      <c r="I43" s="253"/>
    </row>
    <row r="44" spans="2:20" ht="15" customHeight="1">
      <c r="B44" s="227" t="s">
        <v>241</v>
      </c>
      <c r="C44" s="228"/>
      <c r="D44" s="228"/>
      <c r="E44" s="250"/>
      <c r="F44" s="251" t="s">
        <v>1722</v>
      </c>
      <c r="G44" s="252"/>
      <c r="H44" s="252"/>
      <c r="I44" s="253"/>
      <c r="J44" s="70"/>
      <c r="K44" s="63"/>
    </row>
    <row r="45" spans="2:20" ht="15" customHeight="1">
      <c r="B45" s="227" t="s">
        <v>40</v>
      </c>
      <c r="C45" s="228"/>
      <c r="D45" s="228"/>
      <c r="E45" s="228"/>
      <c r="F45" s="228"/>
      <c r="G45" s="228"/>
      <c r="H45" s="228"/>
      <c r="I45" s="229"/>
    </row>
    <row r="46" spans="2:20" ht="15" customHeight="1">
      <c r="B46" s="230" t="s">
        <v>40</v>
      </c>
      <c r="C46" s="231"/>
      <c r="D46" s="231"/>
      <c r="E46" s="231"/>
      <c r="F46" s="231"/>
      <c r="G46" s="231"/>
      <c r="H46" s="231"/>
      <c r="I46" s="232"/>
    </row>
    <row r="47" spans="2:20" ht="15" customHeight="1">
      <c r="B47" s="233"/>
      <c r="C47" s="234"/>
      <c r="D47" s="234"/>
      <c r="E47" s="234"/>
      <c r="F47" s="234"/>
      <c r="G47" s="234"/>
      <c r="H47" s="234"/>
      <c r="I47" s="235"/>
    </row>
    <row r="48" spans="2:20" ht="15" customHeight="1">
      <c r="B48" s="233"/>
      <c r="C48" s="234"/>
      <c r="D48" s="234"/>
      <c r="E48" s="234"/>
      <c r="F48" s="234"/>
      <c r="G48" s="234"/>
      <c r="H48" s="234"/>
      <c r="I48" s="235"/>
    </row>
    <row r="49" spans="2:21" ht="15" customHeight="1">
      <c r="B49" s="233"/>
      <c r="C49" s="234"/>
      <c r="D49" s="234"/>
      <c r="E49" s="234"/>
      <c r="F49" s="234"/>
      <c r="G49" s="234"/>
      <c r="H49" s="234"/>
      <c r="I49" s="235"/>
    </row>
    <row r="50" spans="2:21" ht="15" customHeight="1" thickBot="1">
      <c r="B50" s="274"/>
      <c r="C50" s="275"/>
      <c r="D50" s="275"/>
      <c r="E50" s="275"/>
      <c r="F50" s="275"/>
      <c r="G50" s="275"/>
      <c r="H50" s="275"/>
      <c r="I50" s="276"/>
    </row>
    <row r="52" spans="2:21" s="11" customFormat="1">
      <c r="K52" s="62"/>
      <c r="L52" s="1"/>
      <c r="M52" s="1"/>
      <c r="N52" s="1"/>
      <c r="O52" s="1"/>
      <c r="P52" s="1"/>
      <c r="Q52" s="1"/>
      <c r="R52" s="1"/>
      <c r="S52" s="1"/>
      <c r="T52" s="1"/>
      <c r="U52" s="1"/>
    </row>
    <row r="53" spans="2:21" s="11" customFormat="1">
      <c r="B53" s="242" t="s">
        <v>51</v>
      </c>
      <c r="C53" s="242"/>
      <c r="D53" s="242"/>
      <c r="E53" s="242"/>
      <c r="F53" s="242"/>
      <c r="G53" s="242"/>
      <c r="H53" s="242"/>
      <c r="I53" s="242"/>
      <c r="K53" s="62"/>
      <c r="L53" s="1"/>
      <c r="M53" s="1"/>
      <c r="N53" s="1"/>
      <c r="O53" s="1"/>
      <c r="P53" s="1"/>
      <c r="Q53" s="1"/>
      <c r="R53" s="1"/>
      <c r="S53" s="1"/>
      <c r="T53" s="1"/>
      <c r="U53" s="1"/>
    </row>
    <row r="54" spans="2:21" s="11" customFormat="1" ht="14.25" thickBot="1">
      <c r="B54" s="11" t="s">
        <v>41</v>
      </c>
      <c r="D54" s="12"/>
      <c r="E54" s="244"/>
      <c r="F54" s="244"/>
      <c r="G54" s="13"/>
      <c r="H54" s="14"/>
      <c r="I54" s="32" t="s">
        <v>45</v>
      </c>
      <c r="J54" s="14"/>
      <c r="K54" s="63"/>
      <c r="L54" s="1"/>
      <c r="M54" s="1"/>
      <c r="N54" s="1"/>
      <c r="O54" s="1"/>
      <c r="P54" s="1"/>
      <c r="Q54" s="1"/>
      <c r="R54" s="1"/>
      <c r="S54" s="1"/>
      <c r="T54" s="1"/>
      <c r="U54" s="1"/>
    </row>
    <row r="55" spans="2:21" s="11" customFormat="1">
      <c r="B55" s="15"/>
      <c r="C55" s="16"/>
      <c r="D55" s="16"/>
      <c r="E55" s="16"/>
      <c r="F55" s="16"/>
      <c r="G55" s="17"/>
      <c r="H55" s="245"/>
      <c r="I55" s="246"/>
      <c r="J55" s="18"/>
      <c r="K55" s="62"/>
      <c r="L55" s="1"/>
      <c r="M55" s="1"/>
      <c r="N55" s="1"/>
      <c r="O55" s="1"/>
      <c r="P55" s="1"/>
      <c r="Q55" s="1"/>
      <c r="R55" s="1"/>
      <c r="S55" s="1"/>
      <c r="T55" s="1"/>
      <c r="U55" s="1"/>
    </row>
    <row r="56" spans="2:21" s="11" customFormat="1">
      <c r="B56" s="19"/>
      <c r="I56" s="20"/>
      <c r="K56" s="62"/>
      <c r="L56" s="1"/>
      <c r="M56" s="1"/>
      <c r="N56" s="1"/>
      <c r="O56" s="1"/>
      <c r="P56" s="1"/>
      <c r="Q56" s="1"/>
      <c r="R56" s="1"/>
      <c r="S56" s="1"/>
      <c r="T56" s="1"/>
      <c r="U56" s="1"/>
    </row>
    <row r="57" spans="2:21" s="11" customFormat="1">
      <c r="B57" s="19"/>
      <c r="I57" s="20"/>
      <c r="K57" s="62"/>
      <c r="L57" s="1"/>
      <c r="M57" s="1"/>
      <c r="N57" s="1"/>
      <c r="O57" s="1"/>
      <c r="P57" s="1"/>
      <c r="Q57" s="1"/>
      <c r="R57" s="1"/>
      <c r="S57" s="1"/>
      <c r="T57" s="1"/>
      <c r="U57" s="1"/>
    </row>
    <row r="58" spans="2:21" s="11" customFormat="1">
      <c r="B58" s="21"/>
      <c r="I58" s="20"/>
      <c r="K58" s="62"/>
      <c r="L58" s="1"/>
      <c r="M58" s="1"/>
      <c r="N58" s="1"/>
      <c r="O58" s="1"/>
      <c r="P58" s="1"/>
      <c r="Q58" s="1"/>
      <c r="R58" s="1"/>
      <c r="S58" s="1"/>
      <c r="T58" s="1"/>
      <c r="U58" s="1"/>
    </row>
    <row r="59" spans="2:21" s="11" customFormat="1">
      <c r="B59" s="19"/>
      <c r="I59" s="20"/>
      <c r="K59" s="62"/>
      <c r="L59" s="1"/>
      <c r="M59" s="1"/>
      <c r="N59" s="1"/>
      <c r="O59" s="1"/>
      <c r="P59" s="1"/>
      <c r="Q59" s="1"/>
      <c r="R59" s="1"/>
      <c r="S59" s="1"/>
      <c r="T59" s="1"/>
      <c r="U59" s="1"/>
    </row>
    <row r="60" spans="2:21" s="11" customFormat="1">
      <c r="B60" s="19"/>
      <c r="I60" s="20"/>
      <c r="K60" s="62"/>
      <c r="L60" s="1"/>
      <c r="M60" s="1"/>
      <c r="N60" s="1"/>
      <c r="O60" s="1"/>
      <c r="P60" s="1"/>
      <c r="Q60" s="1"/>
      <c r="R60" s="1"/>
      <c r="S60" s="1"/>
      <c r="T60" s="1"/>
      <c r="U60" s="1"/>
    </row>
    <row r="61" spans="2:21" s="11" customFormat="1">
      <c r="B61" s="19"/>
      <c r="I61" s="20"/>
      <c r="K61" s="62"/>
      <c r="L61" s="1"/>
      <c r="M61" s="1"/>
      <c r="N61" s="1"/>
      <c r="O61" s="1"/>
      <c r="P61" s="1"/>
      <c r="Q61" s="1"/>
      <c r="R61" s="1"/>
      <c r="S61" s="1"/>
      <c r="T61" s="1"/>
      <c r="U61" s="1"/>
    </row>
    <row r="62" spans="2:21" s="11" customFormat="1">
      <c r="B62" s="19"/>
      <c r="I62" s="20"/>
      <c r="K62" s="62"/>
      <c r="L62" s="1"/>
      <c r="M62" s="1"/>
      <c r="N62" s="1"/>
      <c r="O62" s="1"/>
      <c r="P62" s="1"/>
      <c r="Q62" s="1"/>
      <c r="R62" s="1"/>
      <c r="S62" s="1"/>
      <c r="T62" s="1"/>
      <c r="U62" s="1"/>
    </row>
    <row r="63" spans="2:21" s="11" customFormat="1">
      <c r="B63" s="19"/>
      <c r="E63" s="239"/>
      <c r="F63" s="239"/>
      <c r="I63" s="20"/>
      <c r="K63" s="62"/>
      <c r="L63" s="1"/>
      <c r="M63" s="1"/>
      <c r="N63" s="1"/>
      <c r="O63" s="1"/>
      <c r="P63" s="1"/>
      <c r="Q63" s="1"/>
      <c r="R63" s="1"/>
      <c r="S63" s="1"/>
      <c r="T63" s="1"/>
      <c r="U63" s="1"/>
    </row>
    <row r="64" spans="2:21" s="11" customFormat="1">
      <c r="B64" s="19"/>
      <c r="E64" s="18"/>
      <c r="F64" s="18"/>
      <c r="G64" s="18"/>
      <c r="I64" s="20"/>
      <c r="K64" s="62"/>
      <c r="L64" s="1"/>
      <c r="M64" s="1"/>
      <c r="N64" s="1"/>
      <c r="O64" s="1"/>
      <c r="P64" s="1"/>
      <c r="Q64" s="1"/>
      <c r="R64" s="1"/>
      <c r="S64" s="1"/>
      <c r="T64" s="1"/>
      <c r="U64" s="1"/>
    </row>
    <row r="65" spans="2:21" s="11" customFormat="1">
      <c r="B65" s="19"/>
      <c r="E65" s="18"/>
      <c r="F65" s="18"/>
      <c r="G65" s="18"/>
      <c r="I65" s="20"/>
      <c r="K65" s="62"/>
      <c r="L65" s="1"/>
      <c r="M65" s="1"/>
      <c r="N65" s="1"/>
      <c r="O65" s="1"/>
      <c r="P65" s="1"/>
      <c r="Q65" s="1"/>
      <c r="R65" s="1"/>
      <c r="S65" s="1"/>
      <c r="T65" s="1"/>
      <c r="U65" s="1"/>
    </row>
    <row r="66" spans="2:21" s="11" customFormat="1">
      <c r="B66" s="19"/>
      <c r="I66" s="20"/>
      <c r="K66" s="62"/>
      <c r="L66" s="1"/>
      <c r="M66" s="1"/>
      <c r="N66" s="1"/>
      <c r="O66" s="1"/>
      <c r="P66" s="1"/>
      <c r="Q66" s="1"/>
      <c r="R66" s="1"/>
      <c r="S66" s="1"/>
      <c r="T66" s="1"/>
      <c r="U66" s="1"/>
    </row>
    <row r="67" spans="2:21" s="11" customFormat="1">
      <c r="B67" s="19"/>
      <c r="I67" s="20"/>
      <c r="K67" s="62"/>
      <c r="L67" s="1"/>
      <c r="M67" s="1"/>
      <c r="N67" s="1"/>
      <c r="O67" s="1"/>
      <c r="P67" s="1"/>
      <c r="Q67" s="1"/>
      <c r="R67" s="1"/>
      <c r="S67" s="1"/>
      <c r="T67" s="1"/>
      <c r="U67" s="1"/>
    </row>
    <row r="68" spans="2:21" s="11" customFormat="1">
      <c r="B68" s="19"/>
      <c r="I68" s="20"/>
      <c r="K68" s="62"/>
      <c r="L68" s="1"/>
      <c r="M68" s="1"/>
      <c r="N68" s="1"/>
      <c r="O68" s="1"/>
      <c r="P68" s="1"/>
      <c r="Q68" s="1"/>
      <c r="R68" s="1"/>
      <c r="S68" s="1"/>
      <c r="T68" s="1"/>
      <c r="U68" s="1"/>
    </row>
    <row r="69" spans="2:21" s="11" customFormat="1">
      <c r="B69" s="19"/>
      <c r="C69" s="18"/>
      <c r="D69" s="28"/>
      <c r="E69" s="28"/>
      <c r="F69" s="28"/>
      <c r="I69" s="20"/>
      <c r="K69" s="62"/>
      <c r="L69" s="1"/>
      <c r="M69" s="1"/>
      <c r="N69" s="1"/>
      <c r="O69" s="1"/>
      <c r="P69" s="1"/>
      <c r="Q69" s="1"/>
      <c r="R69" s="1"/>
      <c r="S69" s="1"/>
      <c r="T69" s="1"/>
      <c r="U69" s="1"/>
    </row>
    <row r="70" spans="2:21" s="11" customFormat="1">
      <c r="B70" s="19"/>
      <c r="C70" s="29"/>
      <c r="D70" s="28"/>
      <c r="E70" s="30"/>
      <c r="F70" s="30"/>
      <c r="I70" s="20"/>
      <c r="K70" s="62"/>
      <c r="L70" s="1"/>
      <c r="M70" s="1"/>
      <c r="N70" s="1"/>
      <c r="O70" s="1"/>
      <c r="P70" s="1"/>
      <c r="Q70" s="1"/>
      <c r="R70" s="1"/>
      <c r="S70" s="1"/>
      <c r="T70" s="1"/>
      <c r="U70" s="1"/>
    </row>
    <row r="71" spans="2:21" s="11" customFormat="1">
      <c r="B71" s="19"/>
      <c r="C71" s="29"/>
      <c r="D71" s="28"/>
      <c r="E71" s="30"/>
      <c r="F71" s="30"/>
      <c r="I71" s="20"/>
      <c r="K71" s="62"/>
      <c r="L71" s="1"/>
      <c r="M71" s="1"/>
      <c r="N71" s="1"/>
      <c r="O71" s="1"/>
      <c r="P71" s="1"/>
      <c r="Q71" s="1"/>
      <c r="R71" s="1"/>
      <c r="S71" s="1"/>
      <c r="T71" s="1"/>
      <c r="U71" s="1"/>
    </row>
    <row r="72" spans="2:21" s="11" customFormat="1">
      <c r="B72" s="19"/>
      <c r="C72" s="29"/>
      <c r="D72" s="28"/>
      <c r="E72" s="30"/>
      <c r="F72" s="30"/>
      <c r="I72" s="20"/>
      <c r="K72" s="62"/>
      <c r="L72" s="1"/>
      <c r="M72" s="1"/>
      <c r="N72" s="1"/>
      <c r="O72" s="1"/>
      <c r="P72" s="1"/>
      <c r="Q72" s="1"/>
      <c r="R72" s="1"/>
      <c r="S72" s="1"/>
      <c r="T72" s="1"/>
      <c r="U72" s="1"/>
    </row>
    <row r="73" spans="2:21" s="11" customFormat="1">
      <c r="B73" s="19"/>
      <c r="C73" s="18"/>
      <c r="D73" s="28"/>
      <c r="E73" s="30"/>
      <c r="F73" s="30"/>
      <c r="I73" s="20"/>
      <c r="K73" s="62"/>
      <c r="L73" s="1"/>
      <c r="M73" s="1"/>
      <c r="N73" s="1"/>
      <c r="O73" s="1"/>
      <c r="P73" s="1"/>
      <c r="Q73" s="1"/>
      <c r="R73" s="1"/>
      <c r="S73" s="1"/>
      <c r="T73" s="1"/>
      <c r="U73" s="1"/>
    </row>
    <row r="74" spans="2:21" s="11" customFormat="1">
      <c r="B74" s="19"/>
      <c r="C74" s="18"/>
      <c r="D74" s="28"/>
      <c r="E74" s="30"/>
      <c r="F74" s="30"/>
      <c r="I74" s="20"/>
      <c r="K74" s="62"/>
      <c r="L74" s="1"/>
      <c r="M74" s="1"/>
      <c r="N74" s="1"/>
      <c r="O74" s="1"/>
      <c r="P74" s="1"/>
      <c r="Q74" s="1"/>
      <c r="R74" s="1"/>
      <c r="S74" s="1"/>
      <c r="T74" s="1"/>
      <c r="U74" s="1"/>
    </row>
    <row r="75" spans="2:21" s="11" customFormat="1">
      <c r="B75" s="19"/>
      <c r="I75" s="20"/>
      <c r="K75" s="62"/>
      <c r="L75" s="1"/>
      <c r="M75" s="1"/>
      <c r="N75" s="1"/>
      <c r="O75" s="1"/>
      <c r="P75" s="1"/>
      <c r="Q75" s="1"/>
      <c r="R75" s="1"/>
      <c r="S75" s="1"/>
      <c r="T75" s="1"/>
      <c r="U75" s="1"/>
    </row>
    <row r="76" spans="2:21" s="11" customFormat="1">
      <c r="B76" s="19"/>
      <c r="I76" s="20"/>
      <c r="K76" s="62"/>
      <c r="L76" s="1"/>
      <c r="M76" s="1"/>
      <c r="N76" s="1"/>
      <c r="O76" s="1"/>
      <c r="P76" s="1"/>
      <c r="Q76" s="1"/>
      <c r="R76" s="1"/>
      <c r="S76" s="1"/>
      <c r="T76" s="1"/>
      <c r="U76" s="1"/>
    </row>
    <row r="77" spans="2:21" s="11" customFormat="1">
      <c r="B77" s="19"/>
      <c r="C77" s="31"/>
      <c r="D77" s="18"/>
      <c r="F77" s="18"/>
      <c r="G77" s="18"/>
      <c r="I77" s="20"/>
      <c r="K77" s="62"/>
      <c r="L77" s="1"/>
      <c r="M77" s="1"/>
      <c r="N77" s="1"/>
      <c r="O77" s="1"/>
      <c r="P77" s="1"/>
      <c r="Q77" s="1"/>
      <c r="R77" s="1"/>
      <c r="S77" s="1"/>
      <c r="T77" s="1"/>
      <c r="U77" s="1"/>
    </row>
    <row r="78" spans="2:21" s="11" customFormat="1">
      <c r="B78" s="19"/>
      <c r="D78" s="18"/>
      <c r="F78" s="18"/>
      <c r="G78" s="13"/>
      <c r="I78" s="20"/>
      <c r="K78" s="62"/>
      <c r="L78" s="1"/>
      <c r="M78" s="1"/>
      <c r="N78" s="1"/>
      <c r="O78" s="1"/>
      <c r="P78" s="1"/>
      <c r="Q78" s="1"/>
      <c r="R78" s="1"/>
      <c r="S78" s="1"/>
      <c r="T78" s="1"/>
      <c r="U78" s="1"/>
    </row>
    <row r="79" spans="2:21" s="11" customFormat="1">
      <c r="B79" s="19"/>
      <c r="I79" s="20"/>
      <c r="K79" s="62"/>
      <c r="L79" s="1"/>
      <c r="M79" s="1"/>
      <c r="N79" s="1"/>
      <c r="O79" s="1"/>
      <c r="P79" s="1"/>
      <c r="Q79" s="1"/>
      <c r="R79" s="1"/>
      <c r="S79" s="1"/>
      <c r="T79" s="1"/>
      <c r="U79" s="1"/>
    </row>
    <row r="80" spans="2:21" s="11" customFormat="1">
      <c r="B80" s="19"/>
      <c r="I80" s="20"/>
      <c r="K80" s="62"/>
      <c r="L80" s="1"/>
      <c r="M80" s="1"/>
      <c r="N80" s="1"/>
      <c r="O80" s="1"/>
      <c r="P80" s="1"/>
      <c r="Q80" s="1"/>
      <c r="R80" s="1"/>
      <c r="S80" s="1"/>
      <c r="T80" s="1"/>
      <c r="U80" s="1"/>
    </row>
    <row r="81" spans="2:21" s="11" customFormat="1">
      <c r="B81" s="19"/>
      <c r="I81" s="20"/>
      <c r="K81" s="62"/>
      <c r="L81" s="1"/>
      <c r="M81" s="1"/>
      <c r="N81" s="1"/>
      <c r="O81" s="1"/>
      <c r="P81" s="1"/>
      <c r="Q81" s="1"/>
      <c r="R81" s="1"/>
      <c r="S81" s="1"/>
      <c r="T81" s="1"/>
      <c r="U81" s="1"/>
    </row>
    <row r="82" spans="2:21" s="11" customFormat="1">
      <c r="B82" s="19"/>
      <c r="I82" s="20"/>
      <c r="K82" s="62"/>
      <c r="L82" s="1"/>
      <c r="M82" s="1"/>
      <c r="N82" s="1"/>
      <c r="O82" s="1"/>
      <c r="P82" s="1"/>
      <c r="Q82" s="1"/>
      <c r="R82" s="1"/>
      <c r="S82" s="1"/>
      <c r="T82" s="1"/>
      <c r="U82" s="1"/>
    </row>
    <row r="83" spans="2:21" s="11" customFormat="1">
      <c r="B83" s="19"/>
      <c r="I83" s="20"/>
      <c r="K83" s="62"/>
      <c r="L83" s="1"/>
      <c r="M83" s="1"/>
      <c r="N83" s="1"/>
      <c r="O83" s="1"/>
      <c r="P83" s="1"/>
      <c r="Q83" s="1"/>
      <c r="R83" s="1"/>
      <c r="S83" s="1"/>
      <c r="T83" s="1"/>
      <c r="U83" s="1"/>
    </row>
    <row r="84" spans="2:21" s="11" customFormat="1">
      <c r="B84" s="19"/>
      <c r="I84" s="20"/>
      <c r="K84" s="62"/>
      <c r="L84" s="1"/>
      <c r="M84" s="1"/>
      <c r="N84" s="1"/>
      <c r="O84" s="1"/>
      <c r="P84" s="1"/>
      <c r="Q84" s="1"/>
      <c r="R84" s="1"/>
      <c r="S84" s="1"/>
      <c r="T84" s="1"/>
      <c r="U84" s="1"/>
    </row>
    <row r="85" spans="2:21" s="11" customFormat="1">
      <c r="B85" s="19"/>
      <c r="I85" s="20"/>
      <c r="K85" s="62"/>
      <c r="L85" s="1"/>
      <c r="M85" s="1"/>
      <c r="N85" s="1"/>
      <c r="O85" s="1"/>
      <c r="P85" s="1"/>
      <c r="Q85" s="1"/>
      <c r="R85" s="1"/>
      <c r="S85" s="1"/>
      <c r="T85" s="1"/>
      <c r="U85" s="1"/>
    </row>
    <row r="86" spans="2:21" s="11" customFormat="1">
      <c r="B86" s="19"/>
      <c r="E86" s="239"/>
      <c r="F86" s="239"/>
      <c r="I86" s="20"/>
      <c r="K86" s="62"/>
      <c r="L86" s="1"/>
      <c r="M86" s="1"/>
      <c r="N86" s="1"/>
      <c r="O86" s="1"/>
      <c r="P86" s="1"/>
      <c r="Q86" s="1"/>
      <c r="R86" s="1"/>
      <c r="S86" s="1"/>
      <c r="T86" s="1"/>
      <c r="U86" s="1"/>
    </row>
    <row r="87" spans="2:21" s="11" customFormat="1">
      <c r="B87" s="19"/>
      <c r="E87" s="18"/>
      <c r="F87" s="18"/>
      <c r="G87" s="18"/>
      <c r="I87" s="20"/>
      <c r="K87" s="62"/>
      <c r="L87" s="1"/>
      <c r="M87" s="1"/>
      <c r="N87" s="1"/>
      <c r="O87" s="1"/>
      <c r="P87" s="1"/>
      <c r="Q87" s="1"/>
      <c r="R87" s="1"/>
      <c r="S87" s="1"/>
      <c r="T87" s="1"/>
      <c r="U87" s="1"/>
    </row>
    <row r="88" spans="2:21" s="11" customFormat="1">
      <c r="B88" s="19"/>
      <c r="E88" s="18"/>
      <c r="F88" s="18"/>
      <c r="G88" s="18"/>
      <c r="I88" s="20"/>
      <c r="K88" s="62"/>
      <c r="L88" s="1"/>
      <c r="M88" s="1"/>
      <c r="N88" s="1"/>
      <c r="O88" s="1"/>
      <c r="P88" s="1"/>
      <c r="Q88" s="1"/>
      <c r="R88" s="1"/>
      <c r="S88" s="1"/>
      <c r="T88" s="1"/>
      <c r="U88" s="1"/>
    </row>
    <row r="89" spans="2:21" s="11" customFormat="1">
      <c r="B89" s="19"/>
      <c r="I89" s="20"/>
      <c r="K89" s="62"/>
      <c r="L89" s="1"/>
      <c r="M89" s="1"/>
      <c r="N89" s="1"/>
      <c r="O89" s="1"/>
      <c r="P89" s="1"/>
      <c r="Q89" s="1"/>
      <c r="R89" s="1"/>
      <c r="S89" s="1"/>
      <c r="T89" s="1"/>
      <c r="U89" s="1"/>
    </row>
    <row r="90" spans="2:21" s="11" customFormat="1">
      <c r="B90" s="19"/>
      <c r="I90" s="20"/>
      <c r="K90" s="62"/>
      <c r="L90" s="1"/>
      <c r="M90" s="1"/>
      <c r="N90" s="1"/>
      <c r="O90" s="1"/>
      <c r="P90" s="1"/>
      <c r="Q90" s="1"/>
      <c r="R90" s="1"/>
      <c r="S90" s="1"/>
      <c r="T90" s="1"/>
      <c r="U90" s="1"/>
    </row>
    <row r="91" spans="2:21" s="11" customFormat="1">
      <c r="B91" s="19"/>
      <c r="I91" s="20"/>
      <c r="K91" s="62"/>
      <c r="L91" s="1"/>
      <c r="M91" s="1"/>
      <c r="N91" s="1"/>
      <c r="O91" s="1"/>
      <c r="P91" s="1"/>
      <c r="Q91" s="1"/>
      <c r="R91" s="1"/>
      <c r="S91" s="1"/>
      <c r="T91" s="1"/>
      <c r="U91" s="1"/>
    </row>
    <row r="92" spans="2:21" s="11" customFormat="1">
      <c r="B92" s="19"/>
      <c r="I92" s="20"/>
      <c r="K92" s="62"/>
      <c r="L92" s="1"/>
      <c r="M92" s="1"/>
      <c r="N92" s="1"/>
      <c r="O92" s="1"/>
      <c r="P92" s="1"/>
      <c r="Q92" s="1"/>
      <c r="R92" s="1"/>
      <c r="S92" s="1"/>
      <c r="T92" s="1"/>
      <c r="U92" s="1"/>
    </row>
    <row r="93" spans="2:21" s="11" customFormat="1">
      <c r="B93" s="19"/>
      <c r="I93" s="20"/>
      <c r="K93" s="62"/>
      <c r="L93" s="1"/>
      <c r="M93" s="1"/>
      <c r="N93" s="1"/>
      <c r="O93" s="1"/>
      <c r="P93" s="1"/>
      <c r="Q93" s="1"/>
      <c r="R93" s="1"/>
      <c r="S93" s="1"/>
      <c r="T93" s="1"/>
      <c r="U93" s="1"/>
    </row>
    <row r="94" spans="2:21" s="11" customFormat="1">
      <c r="B94" s="19"/>
      <c r="C94" s="18"/>
      <c r="D94" s="28"/>
      <c r="E94" s="18"/>
      <c r="F94" s="28"/>
      <c r="I94" s="20"/>
      <c r="K94" s="62"/>
      <c r="L94" s="1"/>
      <c r="M94" s="1"/>
      <c r="N94" s="1"/>
      <c r="O94" s="1"/>
      <c r="P94" s="1"/>
      <c r="Q94" s="1"/>
      <c r="R94" s="1"/>
      <c r="S94" s="1"/>
      <c r="T94" s="1"/>
      <c r="U94" s="1"/>
    </row>
    <row r="95" spans="2:21" s="11" customFormat="1">
      <c r="B95" s="19"/>
      <c r="C95" s="29"/>
      <c r="D95" s="28"/>
      <c r="E95" s="13"/>
      <c r="F95" s="30"/>
      <c r="I95" s="20"/>
      <c r="K95" s="62"/>
      <c r="L95" s="1"/>
      <c r="M95" s="1"/>
      <c r="N95" s="1"/>
      <c r="O95" s="1"/>
      <c r="P95" s="1"/>
      <c r="Q95" s="1"/>
      <c r="R95" s="1"/>
      <c r="S95" s="1"/>
      <c r="T95" s="1"/>
      <c r="U95" s="1"/>
    </row>
    <row r="96" spans="2:21" s="11" customFormat="1">
      <c r="B96" s="19"/>
      <c r="C96" s="29"/>
      <c r="D96" s="28"/>
      <c r="E96" s="13"/>
      <c r="F96" s="30"/>
      <c r="I96" s="20"/>
      <c r="K96" s="62"/>
      <c r="L96" s="1"/>
      <c r="M96" s="1"/>
      <c r="N96" s="1"/>
      <c r="O96" s="1"/>
      <c r="P96" s="1"/>
      <c r="Q96" s="1"/>
      <c r="R96" s="1"/>
      <c r="S96" s="1"/>
      <c r="T96" s="1"/>
      <c r="U96" s="1"/>
    </row>
    <row r="97" spans="2:21" s="11" customFormat="1">
      <c r="B97" s="19"/>
      <c r="C97" s="29"/>
      <c r="D97" s="28"/>
      <c r="E97" s="13"/>
      <c r="F97" s="30"/>
      <c r="I97" s="20"/>
      <c r="K97" s="62"/>
      <c r="L97" s="1"/>
      <c r="M97" s="1"/>
      <c r="N97" s="1"/>
      <c r="O97" s="1"/>
      <c r="P97" s="1"/>
      <c r="Q97" s="1"/>
      <c r="R97" s="1"/>
      <c r="S97" s="1"/>
      <c r="T97" s="1"/>
      <c r="U97" s="1"/>
    </row>
    <row r="98" spans="2:21" s="11" customFormat="1">
      <c r="B98" s="19"/>
      <c r="C98" s="18"/>
      <c r="D98" s="28"/>
      <c r="E98" s="13"/>
      <c r="F98" s="30"/>
      <c r="I98" s="20"/>
      <c r="K98" s="62"/>
      <c r="L98" s="1"/>
      <c r="M98" s="1"/>
      <c r="N98" s="1"/>
      <c r="O98" s="1"/>
      <c r="P98" s="1"/>
      <c r="Q98" s="1"/>
      <c r="R98" s="1"/>
      <c r="S98" s="1"/>
      <c r="T98" s="1"/>
      <c r="U98" s="1"/>
    </row>
    <row r="99" spans="2:21" s="11" customFormat="1">
      <c r="B99" s="19"/>
      <c r="C99" s="18"/>
      <c r="D99" s="28"/>
      <c r="E99" s="13"/>
      <c r="F99" s="30"/>
      <c r="I99" s="20"/>
      <c r="K99" s="62"/>
      <c r="L99" s="1"/>
      <c r="M99" s="1"/>
      <c r="N99" s="1"/>
      <c r="O99" s="1"/>
      <c r="P99" s="1"/>
      <c r="Q99" s="1"/>
      <c r="R99" s="1"/>
      <c r="S99" s="1"/>
      <c r="T99" s="1"/>
      <c r="U99" s="1"/>
    </row>
    <row r="100" spans="2:21" s="11" customFormat="1">
      <c r="B100" s="19"/>
      <c r="G100" s="100"/>
      <c r="I100" s="20"/>
      <c r="K100" s="62"/>
      <c r="L100" s="1"/>
      <c r="M100" s="1"/>
      <c r="N100" s="1"/>
      <c r="O100" s="1"/>
      <c r="P100" s="1"/>
      <c r="Q100" s="1"/>
      <c r="R100" s="1"/>
      <c r="S100" s="106"/>
      <c r="T100" s="1"/>
      <c r="U100" s="1"/>
    </row>
    <row r="101" spans="2:21" s="11" customFormat="1">
      <c r="B101" s="19"/>
      <c r="G101" s="100"/>
      <c r="I101" s="20"/>
      <c r="K101" s="62"/>
      <c r="L101" s="1"/>
      <c r="M101" s="1"/>
      <c r="N101" s="1"/>
      <c r="O101" s="1"/>
      <c r="P101" s="1"/>
      <c r="Q101" s="1"/>
      <c r="R101" s="1"/>
      <c r="S101" s="106"/>
      <c r="T101" s="1"/>
      <c r="U101" s="1"/>
    </row>
    <row r="102" spans="2:21" s="11" customFormat="1">
      <c r="B102" s="19"/>
      <c r="G102" s="100"/>
      <c r="I102" s="20"/>
      <c r="K102" s="62"/>
      <c r="L102" s="1"/>
      <c r="M102" s="1"/>
      <c r="N102" s="1"/>
      <c r="O102" s="1"/>
      <c r="P102" s="1"/>
      <c r="Q102" s="1"/>
      <c r="R102" s="1"/>
      <c r="S102" s="106"/>
      <c r="T102" s="1"/>
      <c r="U102" s="1"/>
    </row>
    <row r="103" spans="2:21" s="11" customFormat="1">
      <c r="B103" s="19"/>
      <c r="G103" s="100"/>
      <c r="I103" s="20"/>
      <c r="K103" s="62"/>
      <c r="L103" s="1"/>
      <c r="M103" s="1"/>
      <c r="N103" s="1"/>
      <c r="O103" s="1"/>
      <c r="P103" s="1"/>
      <c r="Q103" s="1"/>
      <c r="R103" s="1"/>
      <c r="S103" s="106"/>
      <c r="T103" s="1"/>
      <c r="U103" s="1"/>
    </row>
    <row r="104" spans="2:21" s="11" customFormat="1">
      <c r="B104" s="19"/>
      <c r="G104" s="100"/>
      <c r="I104" s="20"/>
      <c r="K104" s="62"/>
      <c r="L104" s="1"/>
      <c r="M104" s="1"/>
      <c r="N104" s="1"/>
      <c r="O104" s="1"/>
      <c r="P104" s="1"/>
      <c r="Q104" s="1"/>
      <c r="R104" s="1"/>
      <c r="S104" s="106"/>
      <c r="T104" s="1"/>
      <c r="U104" s="1"/>
    </row>
    <row r="105" spans="2:21" s="11" customFormat="1" ht="14.25" thickBot="1">
      <c r="B105" s="22"/>
      <c r="C105" s="25"/>
      <c r="D105" s="25"/>
      <c r="E105" s="25"/>
      <c r="F105" s="25"/>
      <c r="G105" s="101"/>
      <c r="H105" s="25"/>
      <c r="I105" s="23"/>
      <c r="K105" s="62"/>
      <c r="L105" s="1"/>
      <c r="M105" s="1"/>
      <c r="N105" s="1"/>
      <c r="O105" s="1"/>
      <c r="P105" s="1"/>
      <c r="Q105" s="1"/>
      <c r="R105" s="1"/>
      <c r="S105" s="106"/>
      <c r="T105" s="1"/>
      <c r="U105" s="1"/>
    </row>
    <row r="106" spans="2:21" s="11" customFormat="1">
      <c r="B106" s="26" t="s">
        <v>48</v>
      </c>
      <c r="G106" s="102" t="s">
        <v>46</v>
      </c>
      <c r="H106" s="240" t="s">
        <v>47</v>
      </c>
      <c r="I106" s="241"/>
      <c r="J106" s="18"/>
      <c r="K106" s="62"/>
      <c r="L106" s="1"/>
      <c r="M106" s="1"/>
      <c r="N106" s="1"/>
      <c r="O106" s="1"/>
      <c r="P106" s="1"/>
      <c r="Q106" s="1"/>
      <c r="R106" s="1"/>
      <c r="S106" s="106"/>
      <c r="T106" s="1"/>
      <c r="U106" s="1"/>
    </row>
    <row r="107" spans="2:21" s="11" customFormat="1">
      <c r="B107" s="19"/>
      <c r="G107" s="100"/>
      <c r="I107" s="20"/>
      <c r="K107" s="62"/>
      <c r="L107" s="1"/>
      <c r="M107" s="1"/>
      <c r="N107" s="1"/>
      <c r="O107" s="1"/>
      <c r="P107" s="1"/>
      <c r="Q107" s="1"/>
      <c r="R107" s="1"/>
      <c r="S107" s="106"/>
      <c r="T107" s="1"/>
      <c r="U107" s="1"/>
    </row>
    <row r="108" spans="2:21" s="11" customFormat="1">
      <c r="B108" s="21"/>
      <c r="G108" s="100"/>
      <c r="I108" s="20"/>
      <c r="K108" s="62"/>
      <c r="L108" s="1"/>
      <c r="M108" s="1"/>
      <c r="N108" s="1"/>
      <c r="O108" s="1"/>
      <c r="P108" s="1"/>
      <c r="Q108" s="1"/>
      <c r="R108" s="1"/>
      <c r="S108" s="106"/>
      <c r="T108" s="1"/>
      <c r="U108" s="1"/>
    </row>
    <row r="109" spans="2:21" s="11" customFormat="1">
      <c r="B109" s="19"/>
      <c r="G109" s="100"/>
      <c r="I109" s="20"/>
      <c r="K109" s="62"/>
      <c r="L109" s="1"/>
      <c r="M109" s="1"/>
      <c r="N109" s="1"/>
      <c r="O109" s="1"/>
      <c r="P109" s="1"/>
      <c r="Q109" s="1"/>
      <c r="R109" s="1"/>
      <c r="S109" s="106"/>
      <c r="T109" s="1"/>
      <c r="U109" s="1"/>
    </row>
    <row r="110" spans="2:21" s="11" customFormat="1">
      <c r="B110" s="19"/>
      <c r="G110" s="100"/>
      <c r="I110" s="20"/>
      <c r="K110" s="62"/>
      <c r="L110" s="1"/>
      <c r="M110" s="1"/>
      <c r="N110" s="1"/>
      <c r="O110" s="1"/>
      <c r="P110" s="1"/>
      <c r="Q110" s="1"/>
      <c r="R110" s="1"/>
      <c r="S110" s="106"/>
      <c r="T110" s="1"/>
      <c r="U110" s="1"/>
    </row>
    <row r="111" spans="2:21" s="11" customFormat="1">
      <c r="B111" s="19"/>
      <c r="G111" s="100"/>
      <c r="I111" s="20"/>
      <c r="K111" s="62"/>
      <c r="L111" s="1"/>
      <c r="M111" s="1"/>
      <c r="N111" s="1"/>
      <c r="O111" s="1"/>
      <c r="P111" s="1"/>
      <c r="Q111" s="1"/>
      <c r="R111" s="1"/>
      <c r="S111" s="106"/>
      <c r="T111" s="1"/>
      <c r="U111" s="1"/>
    </row>
    <row r="112" spans="2:21" s="11" customFormat="1">
      <c r="B112" s="19"/>
      <c r="G112" s="100"/>
      <c r="I112" s="20"/>
      <c r="K112" s="62"/>
      <c r="L112" s="1"/>
      <c r="M112" s="1"/>
      <c r="N112" s="1"/>
      <c r="O112" s="1"/>
      <c r="P112" s="1"/>
      <c r="Q112" s="1"/>
      <c r="R112" s="1"/>
      <c r="S112" s="106"/>
      <c r="T112" s="1"/>
      <c r="U112" s="1"/>
    </row>
    <row r="113" spans="2:21" s="11" customFormat="1" ht="14.25" thickBot="1">
      <c r="B113" s="22"/>
      <c r="C113" s="25"/>
      <c r="D113" s="25"/>
      <c r="E113" s="25"/>
      <c r="F113" s="25"/>
      <c r="G113" s="101"/>
      <c r="H113" s="25"/>
      <c r="I113" s="23"/>
      <c r="K113" s="64"/>
      <c r="L113" s="1"/>
      <c r="M113" s="1"/>
      <c r="N113" s="1"/>
      <c r="O113" s="1"/>
      <c r="P113" s="1"/>
      <c r="Q113" s="1"/>
      <c r="R113" s="1"/>
      <c r="S113" s="106"/>
      <c r="T113" s="1"/>
      <c r="U113" s="1"/>
    </row>
    <row r="114" spans="2:21" s="11" customFormat="1">
      <c r="G114" s="100"/>
      <c r="I114" s="24"/>
      <c r="J114" s="24"/>
      <c r="K114" s="64"/>
      <c r="L114" s="1"/>
      <c r="M114" s="1"/>
      <c r="N114" s="1"/>
      <c r="O114" s="1"/>
      <c r="P114" s="1"/>
      <c r="Q114" s="1"/>
      <c r="R114" s="1"/>
      <c r="S114" s="106"/>
      <c r="T114" s="1"/>
      <c r="U114" s="1"/>
    </row>
    <row r="115" spans="2:21" s="11" customFormat="1">
      <c r="G115" s="100"/>
      <c r="K115" s="62"/>
      <c r="L115" s="1"/>
      <c r="M115" s="1"/>
      <c r="N115" s="1"/>
      <c r="O115" s="1"/>
      <c r="P115" s="1"/>
      <c r="Q115" s="1"/>
      <c r="R115" s="1"/>
      <c r="S115" s="106"/>
      <c r="T115" s="1"/>
      <c r="U115" s="1"/>
    </row>
    <row r="116" spans="2:21" s="11" customFormat="1">
      <c r="B116" s="242" t="s">
        <v>51</v>
      </c>
      <c r="C116" s="242"/>
      <c r="D116" s="242"/>
      <c r="E116" s="242"/>
      <c r="F116" s="242"/>
      <c r="G116" s="243"/>
      <c r="H116" s="242"/>
      <c r="I116" s="242"/>
      <c r="K116" s="62"/>
      <c r="L116" s="1"/>
      <c r="M116" s="1"/>
      <c r="N116" s="1"/>
      <c r="O116" s="1"/>
      <c r="P116" s="1"/>
      <c r="Q116" s="1"/>
      <c r="R116" s="1"/>
      <c r="S116" s="106"/>
      <c r="T116" s="1"/>
      <c r="U116" s="1"/>
    </row>
    <row r="117" spans="2:21" s="11" customFormat="1" ht="14.25" thickBot="1">
      <c r="B117" s="11" t="s">
        <v>41</v>
      </c>
      <c r="D117" s="12"/>
      <c r="E117" s="244"/>
      <c r="F117" s="244"/>
      <c r="G117" s="103"/>
      <c r="H117" s="14"/>
      <c r="I117" s="32" t="s">
        <v>243</v>
      </c>
      <c r="J117" s="14"/>
      <c r="K117" s="63"/>
      <c r="L117" s="1"/>
      <c r="M117" s="1"/>
      <c r="N117" s="1"/>
      <c r="O117" s="1"/>
      <c r="P117" s="1"/>
      <c r="Q117" s="1"/>
      <c r="R117" s="1"/>
      <c r="S117" s="106"/>
      <c r="T117" s="1"/>
      <c r="U117" s="1"/>
    </row>
    <row r="118" spans="2:21" s="11" customFormat="1">
      <c r="B118" s="15"/>
      <c r="C118" s="16"/>
      <c r="D118" s="16"/>
      <c r="E118" s="16"/>
      <c r="F118" s="16"/>
      <c r="G118" s="104"/>
      <c r="H118" s="245"/>
      <c r="I118" s="246"/>
      <c r="J118" s="18"/>
      <c r="K118" s="62"/>
      <c r="L118" s="1"/>
      <c r="M118" s="1"/>
      <c r="N118" s="1"/>
      <c r="O118" s="1"/>
      <c r="P118" s="1"/>
      <c r="Q118" s="1"/>
      <c r="R118" s="1"/>
      <c r="S118" s="106"/>
      <c r="T118" s="1"/>
      <c r="U118" s="1"/>
    </row>
    <row r="119" spans="2:21" s="11" customFormat="1">
      <c r="B119" s="19"/>
      <c r="G119" s="100"/>
      <c r="I119" s="20"/>
      <c r="K119" s="62"/>
      <c r="L119" s="1"/>
      <c r="M119" s="1"/>
      <c r="N119" s="1"/>
      <c r="O119" s="1"/>
      <c r="P119" s="1"/>
      <c r="Q119" s="1"/>
      <c r="R119" s="1"/>
      <c r="S119" s="106"/>
      <c r="T119" s="1"/>
      <c r="U119" s="1"/>
    </row>
    <row r="120" spans="2:21" s="11" customFormat="1">
      <c r="B120" s="19"/>
      <c r="G120" s="100"/>
      <c r="I120" s="20"/>
      <c r="K120" s="62"/>
      <c r="L120" s="1"/>
      <c r="M120" s="1"/>
      <c r="N120" s="1"/>
      <c r="O120" s="1"/>
      <c r="P120" s="1"/>
      <c r="Q120" s="1"/>
      <c r="R120" s="1"/>
      <c r="S120" s="106"/>
      <c r="T120" s="1"/>
      <c r="U120" s="1"/>
    </row>
    <row r="121" spans="2:21" s="11" customFormat="1">
      <c r="B121" s="21"/>
      <c r="G121" s="100"/>
      <c r="I121" s="20"/>
      <c r="K121" s="62"/>
      <c r="L121" s="1"/>
      <c r="M121" s="1"/>
      <c r="N121" s="1"/>
      <c r="O121" s="1"/>
      <c r="P121" s="1"/>
      <c r="Q121" s="1"/>
      <c r="R121" s="1"/>
      <c r="S121" s="106"/>
      <c r="T121" s="1"/>
      <c r="U121" s="1"/>
    </row>
    <row r="122" spans="2:21" s="11" customFormat="1">
      <c r="B122" s="19"/>
      <c r="G122" s="100"/>
      <c r="I122" s="20"/>
      <c r="K122" s="62"/>
      <c r="L122" s="1"/>
      <c r="M122" s="1"/>
      <c r="N122" s="1"/>
      <c r="O122" s="1"/>
      <c r="P122" s="1"/>
      <c r="Q122" s="1"/>
      <c r="R122" s="1"/>
      <c r="S122" s="106"/>
      <c r="T122" s="1"/>
      <c r="U122" s="1"/>
    </row>
    <row r="123" spans="2:21" s="11" customFormat="1">
      <c r="B123" s="19"/>
      <c r="G123" s="100"/>
      <c r="I123" s="20"/>
      <c r="K123" s="62"/>
      <c r="L123" s="1"/>
      <c r="M123" s="1"/>
      <c r="N123" s="1"/>
      <c r="O123" s="1"/>
      <c r="P123" s="1"/>
      <c r="Q123" s="1"/>
      <c r="R123" s="1"/>
      <c r="S123" s="106"/>
      <c r="T123" s="1"/>
      <c r="U123" s="1"/>
    </row>
    <row r="124" spans="2:21" s="11" customFormat="1">
      <c r="B124" s="19"/>
      <c r="G124" s="100"/>
      <c r="I124" s="20"/>
      <c r="K124" s="62"/>
      <c r="L124" s="1"/>
      <c r="M124" s="1"/>
      <c r="N124" s="1"/>
      <c r="O124" s="1"/>
      <c r="P124" s="1"/>
      <c r="Q124" s="1"/>
      <c r="R124" s="1"/>
      <c r="S124" s="106"/>
      <c r="T124" s="1"/>
      <c r="U124" s="1"/>
    </row>
    <row r="125" spans="2:21" s="11" customFormat="1">
      <c r="B125" s="19"/>
      <c r="G125" s="100"/>
      <c r="I125" s="20"/>
      <c r="K125" s="62"/>
      <c r="L125" s="1"/>
      <c r="M125" s="1"/>
      <c r="N125" s="1"/>
      <c r="O125" s="1"/>
      <c r="P125" s="1"/>
      <c r="Q125" s="1"/>
      <c r="R125" s="1"/>
      <c r="S125" s="106"/>
      <c r="T125" s="1"/>
      <c r="U125" s="1"/>
    </row>
    <row r="126" spans="2:21" s="11" customFormat="1">
      <c r="B126" s="19"/>
      <c r="E126" s="239"/>
      <c r="F126" s="239"/>
      <c r="G126" s="100"/>
      <c r="I126" s="20"/>
      <c r="K126" s="62"/>
      <c r="L126" s="1"/>
      <c r="M126" s="1"/>
      <c r="N126" s="1"/>
      <c r="O126" s="1"/>
      <c r="P126" s="1"/>
      <c r="Q126" s="1"/>
      <c r="R126" s="1"/>
      <c r="S126" s="106"/>
      <c r="T126" s="1"/>
      <c r="U126" s="1"/>
    </row>
    <row r="127" spans="2:21" s="11" customFormat="1">
      <c r="B127" s="19"/>
      <c r="E127" s="18"/>
      <c r="F127" s="18"/>
      <c r="G127" s="105"/>
      <c r="I127" s="20"/>
      <c r="K127" s="62"/>
      <c r="L127" s="1"/>
      <c r="M127" s="1"/>
      <c r="N127" s="1"/>
      <c r="O127" s="1"/>
      <c r="P127" s="1"/>
      <c r="Q127" s="1"/>
      <c r="R127" s="1"/>
      <c r="S127" s="106"/>
      <c r="T127" s="1"/>
      <c r="U127" s="1"/>
    </row>
    <row r="128" spans="2:21" s="11" customFormat="1">
      <c r="B128" s="19"/>
      <c r="E128" s="18"/>
      <c r="F128" s="18"/>
      <c r="G128" s="105"/>
      <c r="I128" s="20"/>
      <c r="K128" s="62"/>
      <c r="L128" s="1"/>
      <c r="M128" s="1"/>
      <c r="N128" s="1"/>
      <c r="O128" s="1"/>
      <c r="P128" s="1"/>
      <c r="Q128" s="1"/>
      <c r="R128" s="1"/>
      <c r="S128" s="106"/>
      <c r="T128" s="1"/>
      <c r="U128" s="1"/>
    </row>
    <row r="129" spans="2:21" s="11" customFormat="1">
      <c r="B129" s="19"/>
      <c r="G129" s="100"/>
      <c r="I129" s="20"/>
      <c r="K129" s="62"/>
      <c r="L129" s="1"/>
      <c r="M129" s="1"/>
      <c r="N129" s="1"/>
      <c r="O129" s="1"/>
      <c r="P129" s="1"/>
      <c r="Q129" s="1"/>
      <c r="R129" s="1"/>
      <c r="S129" s="106"/>
      <c r="T129" s="1"/>
      <c r="U129" s="1"/>
    </row>
    <row r="130" spans="2:21" s="11" customFormat="1">
      <c r="B130" s="19"/>
      <c r="I130" s="20"/>
      <c r="K130" s="62"/>
      <c r="L130" s="1"/>
      <c r="M130" s="1"/>
      <c r="N130" s="1"/>
      <c r="O130" s="1"/>
      <c r="P130" s="1"/>
      <c r="Q130" s="1"/>
      <c r="R130" s="1"/>
      <c r="S130" s="1"/>
      <c r="T130" s="1"/>
      <c r="U130" s="1"/>
    </row>
    <row r="131" spans="2:21" s="11" customFormat="1">
      <c r="B131" s="19"/>
      <c r="I131" s="20"/>
      <c r="K131" s="62"/>
      <c r="L131" s="1"/>
      <c r="M131" s="1"/>
      <c r="N131" s="1"/>
      <c r="O131" s="1"/>
      <c r="P131" s="1"/>
      <c r="Q131" s="1"/>
      <c r="R131" s="1"/>
      <c r="S131" s="1"/>
      <c r="T131" s="1"/>
      <c r="U131" s="1"/>
    </row>
    <row r="132" spans="2:21" s="11" customFormat="1">
      <c r="B132" s="19"/>
      <c r="C132" s="18"/>
      <c r="D132" s="28"/>
      <c r="E132" s="28"/>
      <c r="F132" s="28"/>
      <c r="I132" s="20"/>
      <c r="K132" s="62"/>
      <c r="L132" s="1"/>
      <c r="M132" s="1"/>
      <c r="N132" s="1"/>
      <c r="O132" s="1"/>
      <c r="P132" s="1"/>
      <c r="Q132" s="1"/>
      <c r="R132" s="1"/>
      <c r="S132" s="1"/>
      <c r="T132" s="1"/>
      <c r="U132" s="1"/>
    </row>
    <row r="133" spans="2:21" s="11" customFormat="1">
      <c r="B133" s="19"/>
      <c r="C133" s="29"/>
      <c r="D133" s="28"/>
      <c r="E133" s="30"/>
      <c r="F133" s="30"/>
      <c r="I133" s="20"/>
      <c r="K133" s="62"/>
      <c r="L133" s="1"/>
      <c r="M133" s="1"/>
      <c r="N133" s="1"/>
      <c r="O133" s="1"/>
      <c r="P133" s="1"/>
      <c r="Q133" s="1"/>
      <c r="R133" s="1"/>
      <c r="S133" s="1"/>
      <c r="T133" s="1"/>
      <c r="U133" s="1"/>
    </row>
    <row r="134" spans="2:21" s="11" customFormat="1">
      <c r="B134" s="19"/>
      <c r="C134" s="29"/>
      <c r="D134" s="28"/>
      <c r="E134" s="30"/>
      <c r="F134" s="30"/>
      <c r="I134" s="20"/>
      <c r="K134" s="62"/>
      <c r="L134" s="1"/>
      <c r="M134" s="1"/>
      <c r="N134" s="1"/>
      <c r="O134" s="1"/>
      <c r="P134" s="1"/>
      <c r="Q134" s="1"/>
      <c r="R134" s="1"/>
      <c r="S134" s="1"/>
      <c r="T134" s="1"/>
      <c r="U134" s="1"/>
    </row>
    <row r="135" spans="2:21" s="11" customFormat="1">
      <c r="B135" s="19"/>
      <c r="C135" s="29"/>
      <c r="D135" s="28"/>
      <c r="E135" s="30"/>
      <c r="F135" s="30"/>
      <c r="I135" s="20"/>
      <c r="K135" s="62"/>
      <c r="L135" s="1"/>
      <c r="M135" s="1"/>
      <c r="N135" s="1"/>
      <c r="O135" s="1"/>
      <c r="P135" s="1"/>
      <c r="Q135" s="1"/>
      <c r="R135" s="1"/>
      <c r="S135" s="1"/>
      <c r="T135" s="1"/>
      <c r="U135" s="1"/>
    </row>
    <row r="136" spans="2:21" s="11" customFormat="1">
      <c r="B136" s="19"/>
      <c r="C136" s="18"/>
      <c r="D136" s="28"/>
      <c r="E136" s="30"/>
      <c r="F136" s="30"/>
      <c r="I136" s="20"/>
      <c r="K136" s="62"/>
      <c r="L136" s="1"/>
      <c r="M136" s="1"/>
      <c r="N136" s="1"/>
      <c r="O136" s="1"/>
      <c r="P136" s="1"/>
      <c r="Q136" s="1"/>
      <c r="R136" s="1"/>
      <c r="S136" s="1"/>
      <c r="T136" s="1"/>
      <c r="U136" s="1"/>
    </row>
    <row r="137" spans="2:21" s="11" customFormat="1">
      <c r="B137" s="19"/>
      <c r="C137" s="18"/>
      <c r="D137" s="28"/>
      <c r="E137" s="30"/>
      <c r="F137" s="30"/>
      <c r="I137" s="20"/>
      <c r="K137" s="62"/>
      <c r="L137" s="1"/>
      <c r="M137" s="1"/>
      <c r="N137" s="1"/>
      <c r="O137" s="1"/>
      <c r="P137" s="1"/>
      <c r="Q137" s="1"/>
      <c r="R137" s="1"/>
      <c r="S137" s="1"/>
      <c r="T137" s="1"/>
      <c r="U137" s="1"/>
    </row>
    <row r="138" spans="2:21" s="11" customFormat="1">
      <c r="B138" s="19"/>
      <c r="I138" s="20"/>
      <c r="K138" s="62"/>
      <c r="L138" s="1"/>
      <c r="M138" s="1"/>
      <c r="N138" s="1"/>
      <c r="O138" s="1"/>
      <c r="P138" s="1"/>
      <c r="Q138" s="1"/>
      <c r="R138" s="1"/>
      <c r="S138" s="1"/>
      <c r="T138" s="1"/>
      <c r="U138" s="1"/>
    </row>
    <row r="139" spans="2:21" s="11" customFormat="1">
      <c r="B139" s="19"/>
      <c r="I139" s="20"/>
      <c r="K139" s="62"/>
      <c r="L139" s="1"/>
      <c r="M139" s="1"/>
      <c r="N139" s="1"/>
      <c r="O139" s="1"/>
      <c r="P139" s="1"/>
      <c r="Q139" s="1"/>
      <c r="R139" s="1"/>
      <c r="S139" s="1"/>
      <c r="T139" s="1"/>
      <c r="U139" s="1"/>
    </row>
    <row r="140" spans="2:21" s="11" customFormat="1">
      <c r="B140" s="19"/>
      <c r="C140" s="31"/>
      <c r="D140" s="18"/>
      <c r="F140" s="18"/>
      <c r="G140" s="18"/>
      <c r="I140" s="20"/>
      <c r="K140" s="62"/>
      <c r="L140" s="1"/>
      <c r="M140" s="1"/>
      <c r="N140" s="1"/>
      <c r="O140" s="1"/>
      <c r="P140" s="1"/>
      <c r="Q140" s="1"/>
      <c r="R140" s="1"/>
      <c r="S140" s="1"/>
      <c r="T140" s="1"/>
      <c r="U140" s="1"/>
    </row>
    <row r="141" spans="2:21" s="11" customFormat="1">
      <c r="B141" s="19"/>
      <c r="D141" s="18"/>
      <c r="F141" s="18"/>
      <c r="G141" s="13"/>
      <c r="I141" s="20"/>
      <c r="K141" s="62"/>
      <c r="L141" s="1"/>
      <c r="M141" s="1"/>
      <c r="N141" s="1"/>
      <c r="O141" s="1"/>
      <c r="P141" s="1"/>
      <c r="Q141" s="1"/>
      <c r="R141" s="1"/>
      <c r="S141" s="1"/>
      <c r="T141" s="1"/>
      <c r="U141" s="1"/>
    </row>
    <row r="142" spans="2:21" s="11" customFormat="1">
      <c r="B142" s="19"/>
      <c r="I142" s="20"/>
      <c r="K142" s="62"/>
      <c r="L142" s="1"/>
      <c r="M142" s="1"/>
      <c r="N142" s="1"/>
      <c r="O142" s="1"/>
      <c r="P142" s="1"/>
      <c r="Q142" s="1"/>
      <c r="R142" s="1"/>
      <c r="S142" s="1"/>
      <c r="T142" s="1"/>
      <c r="U142" s="1"/>
    </row>
    <row r="143" spans="2:21" s="11" customFormat="1">
      <c r="B143" s="19"/>
      <c r="I143" s="20"/>
      <c r="K143" s="62"/>
      <c r="L143" s="1"/>
      <c r="M143" s="1"/>
      <c r="N143" s="1"/>
      <c r="O143" s="1"/>
      <c r="P143" s="1"/>
      <c r="Q143" s="1"/>
      <c r="R143" s="1"/>
      <c r="S143" s="1"/>
      <c r="T143" s="1"/>
      <c r="U143" s="1"/>
    </row>
    <row r="144" spans="2:21" s="11" customFormat="1">
      <c r="B144" s="19"/>
      <c r="I144" s="20"/>
      <c r="K144" s="62"/>
      <c r="L144" s="1"/>
      <c r="M144" s="1"/>
      <c r="N144" s="1"/>
      <c r="O144" s="1"/>
      <c r="P144" s="1"/>
      <c r="Q144" s="1"/>
      <c r="R144" s="1"/>
      <c r="S144" s="1"/>
      <c r="T144" s="1"/>
      <c r="U144" s="1"/>
    </row>
    <row r="145" spans="2:21" s="11" customFormat="1">
      <c r="B145" s="19"/>
      <c r="I145" s="20"/>
      <c r="K145" s="62"/>
      <c r="L145" s="1"/>
      <c r="M145" s="1"/>
      <c r="N145" s="1"/>
      <c r="O145" s="1"/>
      <c r="P145" s="1"/>
      <c r="Q145" s="1"/>
      <c r="R145" s="1"/>
      <c r="S145" s="1"/>
      <c r="T145" s="1"/>
      <c r="U145" s="1"/>
    </row>
    <row r="146" spans="2:21" s="11" customFormat="1">
      <c r="B146" s="19"/>
      <c r="I146" s="20"/>
      <c r="K146" s="62"/>
      <c r="L146" s="1"/>
      <c r="M146" s="1"/>
      <c r="N146" s="1"/>
      <c r="O146" s="1"/>
      <c r="P146" s="1"/>
      <c r="Q146" s="1"/>
      <c r="R146" s="1"/>
      <c r="S146" s="1"/>
      <c r="T146" s="1"/>
      <c r="U146" s="1"/>
    </row>
    <row r="147" spans="2:21" s="11" customFormat="1">
      <c r="B147" s="19"/>
      <c r="I147" s="20"/>
      <c r="K147" s="62"/>
      <c r="L147" s="1"/>
      <c r="M147" s="1"/>
      <c r="N147" s="1"/>
      <c r="O147" s="1"/>
      <c r="P147" s="1"/>
      <c r="Q147" s="1"/>
      <c r="R147" s="1"/>
      <c r="S147" s="1"/>
      <c r="T147" s="1"/>
      <c r="U147" s="1"/>
    </row>
    <row r="148" spans="2:21" s="11" customFormat="1">
      <c r="B148" s="19"/>
      <c r="I148" s="20"/>
      <c r="K148" s="62"/>
      <c r="L148" s="1"/>
      <c r="M148" s="1"/>
      <c r="N148" s="1"/>
      <c r="O148" s="1"/>
      <c r="P148" s="1"/>
      <c r="Q148" s="1"/>
      <c r="R148" s="1"/>
      <c r="S148" s="1"/>
      <c r="T148" s="1"/>
      <c r="U148" s="1"/>
    </row>
    <row r="149" spans="2:21" s="11" customFormat="1">
      <c r="B149" s="19"/>
      <c r="E149" s="239"/>
      <c r="F149" s="239"/>
      <c r="I149" s="20"/>
      <c r="K149" s="62"/>
      <c r="L149" s="1"/>
      <c r="M149" s="1"/>
      <c r="N149" s="1"/>
      <c r="O149" s="1"/>
      <c r="P149" s="1"/>
      <c r="Q149" s="1"/>
      <c r="R149" s="1"/>
      <c r="S149" s="1"/>
      <c r="T149" s="1"/>
      <c r="U149" s="1"/>
    </row>
    <row r="150" spans="2:21" s="11" customFormat="1">
      <c r="B150" s="19"/>
      <c r="E150" s="18"/>
      <c r="F150" s="18"/>
      <c r="G150" s="18"/>
      <c r="I150" s="20"/>
      <c r="K150" s="62"/>
      <c r="L150" s="1"/>
      <c r="M150" s="1"/>
      <c r="N150" s="1"/>
      <c r="O150" s="1"/>
      <c r="P150" s="1"/>
      <c r="Q150" s="1"/>
      <c r="R150" s="1"/>
      <c r="S150" s="1"/>
      <c r="T150" s="1"/>
      <c r="U150" s="1"/>
    </row>
    <row r="151" spans="2:21" s="11" customFormat="1">
      <c r="B151" s="19"/>
      <c r="E151" s="18"/>
      <c r="F151" s="18"/>
      <c r="G151" s="18"/>
      <c r="I151" s="20"/>
      <c r="K151" s="62"/>
      <c r="L151" s="1"/>
      <c r="M151" s="1"/>
      <c r="N151" s="1"/>
      <c r="O151" s="1"/>
      <c r="P151" s="1"/>
      <c r="Q151" s="1"/>
      <c r="R151" s="1"/>
      <c r="S151" s="1"/>
      <c r="T151" s="1"/>
      <c r="U151" s="1"/>
    </row>
    <row r="152" spans="2:21" s="11" customFormat="1">
      <c r="B152" s="19"/>
      <c r="I152" s="20"/>
      <c r="K152" s="62"/>
      <c r="L152" s="1"/>
      <c r="M152" s="1"/>
      <c r="N152" s="1"/>
      <c r="O152" s="1"/>
      <c r="P152" s="1"/>
      <c r="Q152" s="1"/>
      <c r="R152" s="1"/>
      <c r="S152" s="1"/>
      <c r="T152" s="1"/>
      <c r="U152" s="1"/>
    </row>
    <row r="153" spans="2:21" s="11" customFormat="1">
      <c r="B153" s="19"/>
      <c r="I153" s="20"/>
      <c r="K153" s="62"/>
      <c r="L153" s="1"/>
      <c r="M153" s="1"/>
      <c r="N153" s="1"/>
      <c r="O153" s="1"/>
      <c r="P153" s="1"/>
      <c r="Q153" s="1"/>
      <c r="R153" s="1"/>
      <c r="S153" s="1"/>
      <c r="T153" s="1"/>
      <c r="U153" s="1"/>
    </row>
    <row r="154" spans="2:21" s="11" customFormat="1">
      <c r="B154" s="19"/>
      <c r="I154" s="20"/>
      <c r="K154" s="62"/>
      <c r="L154" s="1"/>
      <c r="M154" s="1"/>
      <c r="N154" s="1"/>
      <c r="O154" s="1"/>
      <c r="P154" s="1"/>
      <c r="Q154" s="1"/>
      <c r="R154" s="1"/>
      <c r="S154" s="1"/>
      <c r="T154" s="1"/>
      <c r="U154" s="1"/>
    </row>
    <row r="155" spans="2:21" s="11" customFormat="1">
      <c r="B155" s="19"/>
      <c r="I155" s="20"/>
      <c r="K155" s="62"/>
      <c r="L155" s="1"/>
      <c r="M155" s="1"/>
      <c r="N155" s="1"/>
      <c r="O155" s="1"/>
      <c r="P155" s="1"/>
      <c r="Q155" s="1"/>
      <c r="R155" s="1"/>
      <c r="S155" s="1"/>
      <c r="T155" s="1"/>
      <c r="U155" s="1"/>
    </row>
    <row r="156" spans="2:21" s="11" customFormat="1">
      <c r="B156" s="19"/>
      <c r="I156" s="20"/>
      <c r="K156" s="62"/>
      <c r="L156" s="1"/>
      <c r="M156" s="1"/>
      <c r="N156" s="1"/>
      <c r="O156" s="1"/>
      <c r="P156" s="1"/>
      <c r="Q156" s="1"/>
      <c r="R156" s="1"/>
      <c r="S156" s="1"/>
      <c r="T156" s="1"/>
      <c r="U156" s="1"/>
    </row>
    <row r="157" spans="2:21" s="11" customFormat="1">
      <c r="B157" s="19"/>
      <c r="C157" s="18"/>
      <c r="D157" s="28"/>
      <c r="E157" s="18"/>
      <c r="F157" s="28"/>
      <c r="I157" s="20"/>
      <c r="K157" s="62"/>
      <c r="L157" s="1"/>
      <c r="M157" s="1"/>
      <c r="N157" s="1"/>
      <c r="O157" s="1"/>
      <c r="P157" s="1"/>
      <c r="Q157" s="1"/>
      <c r="R157" s="1"/>
      <c r="S157" s="1"/>
      <c r="T157" s="1"/>
      <c r="U157" s="1"/>
    </row>
    <row r="158" spans="2:21" s="11" customFormat="1">
      <c r="B158" s="19"/>
      <c r="C158" s="29"/>
      <c r="D158" s="28"/>
      <c r="E158" s="13"/>
      <c r="F158" s="30"/>
      <c r="I158" s="20"/>
      <c r="K158" s="62"/>
      <c r="L158" s="1"/>
      <c r="M158" s="1"/>
      <c r="N158" s="1"/>
      <c r="O158" s="1"/>
      <c r="P158" s="1"/>
      <c r="Q158" s="1"/>
      <c r="R158" s="1"/>
      <c r="S158" s="1"/>
      <c r="T158" s="1"/>
      <c r="U158" s="1"/>
    </row>
    <row r="159" spans="2:21" s="11" customFormat="1">
      <c r="B159" s="19"/>
      <c r="C159" s="29"/>
      <c r="D159" s="28"/>
      <c r="E159" s="13"/>
      <c r="F159" s="30"/>
      <c r="I159" s="20"/>
      <c r="K159" s="62"/>
      <c r="L159" s="1"/>
      <c r="M159" s="1"/>
      <c r="N159" s="1"/>
      <c r="O159" s="1"/>
      <c r="P159" s="1"/>
      <c r="Q159" s="1"/>
      <c r="R159" s="1"/>
      <c r="S159" s="1"/>
      <c r="T159" s="1"/>
      <c r="U159" s="1"/>
    </row>
    <row r="160" spans="2:21" s="11" customFormat="1">
      <c r="B160" s="19"/>
      <c r="C160" s="29"/>
      <c r="D160" s="28"/>
      <c r="E160" s="13"/>
      <c r="F160" s="30"/>
      <c r="I160" s="20"/>
      <c r="K160" s="62"/>
      <c r="L160" s="1"/>
      <c r="M160" s="1"/>
      <c r="N160" s="1"/>
      <c r="O160" s="1"/>
      <c r="P160" s="1"/>
      <c r="Q160" s="1"/>
      <c r="R160" s="1"/>
      <c r="S160" s="1"/>
      <c r="T160" s="1"/>
      <c r="U160" s="1"/>
    </row>
    <row r="161" spans="2:21" s="11" customFormat="1">
      <c r="B161" s="19"/>
      <c r="C161" s="18"/>
      <c r="D161" s="28"/>
      <c r="E161" s="13"/>
      <c r="F161" s="30"/>
      <c r="I161" s="20"/>
      <c r="K161" s="62"/>
      <c r="L161" s="1"/>
      <c r="M161" s="1"/>
      <c r="N161" s="1"/>
      <c r="O161" s="1"/>
      <c r="P161" s="1"/>
      <c r="Q161" s="1"/>
      <c r="R161" s="1"/>
      <c r="S161" s="1"/>
      <c r="T161" s="1"/>
      <c r="U161" s="1"/>
    </row>
    <row r="162" spans="2:21" s="11" customFormat="1">
      <c r="B162" s="19"/>
      <c r="C162" s="18"/>
      <c r="D162" s="28"/>
      <c r="E162" s="13"/>
      <c r="F162" s="30"/>
      <c r="I162" s="20"/>
      <c r="K162" s="62"/>
      <c r="L162" s="1"/>
      <c r="M162" s="1"/>
      <c r="N162" s="1"/>
      <c r="O162" s="1"/>
      <c r="P162" s="1"/>
      <c r="Q162" s="1"/>
      <c r="R162" s="1"/>
      <c r="S162" s="1"/>
      <c r="T162" s="1"/>
      <c r="U162" s="1"/>
    </row>
    <row r="163" spans="2:21" s="11" customFormat="1">
      <c r="B163" s="19"/>
      <c r="I163" s="20"/>
      <c r="K163" s="62"/>
      <c r="L163" s="1"/>
      <c r="M163" s="1"/>
      <c r="N163" s="1"/>
      <c r="O163" s="1"/>
      <c r="P163" s="1"/>
      <c r="Q163" s="1"/>
      <c r="R163" s="1"/>
      <c r="S163" s="1"/>
      <c r="T163" s="1"/>
      <c r="U163" s="1"/>
    </row>
    <row r="164" spans="2:21" s="11" customFormat="1">
      <c r="B164" s="19"/>
      <c r="I164" s="20"/>
      <c r="K164" s="62"/>
      <c r="L164" s="1"/>
      <c r="M164" s="1"/>
      <c r="N164" s="1"/>
      <c r="O164" s="1"/>
      <c r="P164" s="1"/>
      <c r="Q164" s="1"/>
      <c r="R164" s="1"/>
      <c r="S164" s="1"/>
      <c r="T164" s="1"/>
      <c r="U164" s="1"/>
    </row>
    <row r="165" spans="2:21" s="11" customFormat="1">
      <c r="B165" s="19"/>
      <c r="I165" s="20"/>
      <c r="K165" s="62"/>
      <c r="L165" s="1"/>
      <c r="M165" s="1"/>
      <c r="N165" s="1"/>
      <c r="O165" s="1"/>
      <c r="P165" s="1"/>
      <c r="Q165" s="1"/>
      <c r="R165" s="1"/>
      <c r="S165" s="1"/>
      <c r="T165" s="1"/>
      <c r="U165" s="1"/>
    </row>
    <row r="166" spans="2:21" s="11" customFormat="1">
      <c r="B166" s="19"/>
      <c r="I166" s="20"/>
      <c r="K166" s="62"/>
      <c r="L166" s="1"/>
      <c r="M166" s="1"/>
      <c r="N166" s="1"/>
      <c r="O166" s="1"/>
      <c r="P166" s="1"/>
      <c r="Q166" s="1"/>
      <c r="R166" s="1"/>
      <c r="S166" s="1"/>
      <c r="T166" s="1"/>
      <c r="U166" s="1"/>
    </row>
    <row r="167" spans="2:21" s="11" customFormat="1">
      <c r="B167" s="19"/>
      <c r="I167" s="20"/>
      <c r="K167" s="62"/>
      <c r="L167" s="1"/>
      <c r="M167" s="1"/>
      <c r="N167" s="1"/>
      <c r="O167" s="1"/>
      <c r="P167" s="1"/>
      <c r="Q167" s="1"/>
      <c r="R167" s="1"/>
      <c r="S167" s="1"/>
      <c r="T167" s="1"/>
      <c r="U167" s="1"/>
    </row>
    <row r="168" spans="2:21" s="11" customFormat="1" ht="14.25" thickBot="1">
      <c r="B168" s="22"/>
      <c r="C168" s="25"/>
      <c r="D168" s="25"/>
      <c r="E168" s="25"/>
      <c r="F168" s="25"/>
      <c r="G168" s="25"/>
      <c r="H168" s="25"/>
      <c r="I168" s="23"/>
      <c r="K168" s="62"/>
      <c r="L168" s="1"/>
      <c r="M168" s="1"/>
      <c r="N168" s="1"/>
      <c r="O168" s="1"/>
      <c r="P168" s="1"/>
      <c r="Q168" s="1"/>
      <c r="R168" s="1"/>
      <c r="S168" s="1"/>
      <c r="T168" s="1"/>
      <c r="U168" s="1"/>
    </row>
    <row r="169" spans="2:21" s="11" customFormat="1">
      <c r="B169" s="26" t="s">
        <v>48</v>
      </c>
      <c r="G169" s="27" t="s">
        <v>46</v>
      </c>
      <c r="H169" s="240" t="s">
        <v>47</v>
      </c>
      <c r="I169" s="241"/>
      <c r="J169" s="18"/>
      <c r="K169" s="62"/>
      <c r="L169" s="1"/>
      <c r="M169" s="1"/>
      <c r="N169" s="1"/>
      <c r="O169" s="1"/>
      <c r="P169" s="1"/>
      <c r="Q169" s="1"/>
      <c r="R169" s="1"/>
      <c r="S169" s="1"/>
      <c r="T169" s="1"/>
      <c r="U169" s="1"/>
    </row>
    <row r="170" spans="2:21" s="11" customFormat="1">
      <c r="B170" s="19"/>
      <c r="I170" s="20"/>
      <c r="K170" s="62"/>
      <c r="L170" s="1"/>
      <c r="M170" s="1"/>
      <c r="N170" s="1"/>
      <c r="O170" s="1"/>
      <c r="P170" s="1"/>
      <c r="Q170" s="1"/>
      <c r="R170" s="1"/>
      <c r="S170" s="1"/>
      <c r="T170" s="1"/>
      <c r="U170" s="1"/>
    </row>
    <row r="171" spans="2:21" s="11" customFormat="1">
      <c r="B171" s="21"/>
      <c r="I171" s="20"/>
      <c r="K171" s="62"/>
      <c r="L171" s="1"/>
      <c r="M171" s="1"/>
      <c r="N171" s="1"/>
      <c r="O171" s="1"/>
      <c r="P171" s="1"/>
      <c r="Q171" s="1"/>
      <c r="R171" s="1"/>
      <c r="S171" s="1"/>
      <c r="T171" s="1"/>
      <c r="U171" s="1"/>
    </row>
    <row r="172" spans="2:21" s="11" customFormat="1">
      <c r="B172" s="19"/>
      <c r="I172" s="20"/>
      <c r="K172" s="62"/>
      <c r="L172" s="1"/>
      <c r="M172" s="1"/>
      <c r="N172" s="1"/>
      <c r="O172" s="1"/>
      <c r="P172" s="1"/>
      <c r="Q172" s="1"/>
      <c r="R172" s="1"/>
      <c r="S172" s="1"/>
      <c r="T172" s="1"/>
      <c r="U172" s="1"/>
    </row>
    <row r="173" spans="2:21" s="11" customFormat="1">
      <c r="B173" s="19"/>
      <c r="I173" s="20"/>
      <c r="K173" s="62"/>
      <c r="L173" s="1"/>
      <c r="M173" s="1"/>
      <c r="N173" s="1"/>
      <c r="O173" s="1"/>
      <c r="P173" s="1"/>
      <c r="Q173" s="1"/>
      <c r="R173" s="1"/>
      <c r="S173" s="1"/>
      <c r="T173" s="1"/>
      <c r="U173" s="1"/>
    </row>
    <row r="174" spans="2:21" s="11" customFormat="1">
      <c r="B174" s="19"/>
      <c r="I174" s="20"/>
      <c r="K174" s="62"/>
      <c r="L174" s="1"/>
      <c r="M174" s="1"/>
      <c r="N174" s="1"/>
      <c r="O174" s="1"/>
      <c r="P174" s="1"/>
      <c r="Q174" s="1"/>
      <c r="R174" s="1"/>
      <c r="S174" s="1"/>
      <c r="T174" s="1"/>
      <c r="U174" s="1"/>
    </row>
    <row r="175" spans="2:21" s="11" customFormat="1">
      <c r="B175" s="19"/>
      <c r="I175" s="20"/>
      <c r="K175" s="62"/>
      <c r="L175" s="1"/>
      <c r="M175" s="1"/>
      <c r="N175" s="1"/>
      <c r="O175" s="1"/>
      <c r="P175" s="1"/>
      <c r="Q175" s="1"/>
      <c r="R175" s="1"/>
      <c r="S175" s="1"/>
      <c r="T175" s="1"/>
      <c r="U175" s="1"/>
    </row>
    <row r="176" spans="2:21" s="11" customFormat="1" ht="14.25" thickBot="1">
      <c r="B176" s="22"/>
      <c r="C176" s="25"/>
      <c r="D176" s="25"/>
      <c r="E176" s="25"/>
      <c r="F176" s="25"/>
      <c r="G176" s="25"/>
      <c r="H176" s="25"/>
      <c r="I176" s="23"/>
      <c r="K176" s="64"/>
      <c r="L176" s="1"/>
      <c r="M176" s="1"/>
      <c r="N176" s="1"/>
      <c r="O176" s="1"/>
      <c r="P176" s="1"/>
      <c r="Q176" s="1"/>
      <c r="R176" s="1"/>
      <c r="S176" s="1"/>
      <c r="T176" s="1"/>
      <c r="U176" s="1"/>
    </row>
    <row r="177" spans="9:21" s="11" customFormat="1">
      <c r="I177" s="24"/>
      <c r="J177" s="24"/>
      <c r="K177" s="64"/>
      <c r="L177" s="1"/>
      <c r="M177" s="1"/>
      <c r="N177" s="1"/>
      <c r="O177" s="1"/>
      <c r="P177" s="1"/>
      <c r="Q177" s="1"/>
      <c r="R177" s="1"/>
      <c r="S177" s="1"/>
      <c r="T177" s="1"/>
      <c r="U177" s="1"/>
    </row>
  </sheetData>
  <sheetProtection formatCells="0" formatColumns="0" formatRows="0" insertHyperlinks="0" selectLockedCells="1"/>
  <mergeCells count="103">
    <mergeCell ref="E54:F54"/>
    <mergeCell ref="H55:I55"/>
    <mergeCell ref="B21:I21"/>
    <mergeCell ref="Q35:T35"/>
    <mergeCell ref="O35:P35"/>
    <mergeCell ref="O26:P27"/>
    <mergeCell ref="O34:P34"/>
    <mergeCell ref="Q34:T34"/>
    <mergeCell ref="Q33:T33"/>
    <mergeCell ref="O33:P33"/>
    <mergeCell ref="Q26:T27"/>
    <mergeCell ref="Q28:T28"/>
    <mergeCell ref="O22:P25"/>
    <mergeCell ref="O21:P21"/>
    <mergeCell ref="B45:I45"/>
    <mergeCell ref="B30:I41"/>
    <mergeCell ref="B42:E42"/>
    <mergeCell ref="F42:I42"/>
    <mergeCell ref="F44:I44"/>
    <mergeCell ref="B43:E43"/>
    <mergeCell ref="B29:I29"/>
    <mergeCell ref="B53:I53"/>
    <mergeCell ref="B46:I50"/>
    <mergeCell ref="Q21:T21"/>
    <mergeCell ref="B18:I20"/>
    <mergeCell ref="B17:I17"/>
    <mergeCell ref="B14:I16"/>
    <mergeCell ref="O13:P13"/>
    <mergeCell ref="Q14:T14"/>
    <mergeCell ref="E149:F149"/>
    <mergeCell ref="H169:I169"/>
    <mergeCell ref="H106:I106"/>
    <mergeCell ref="B116:I116"/>
    <mergeCell ref="E117:F117"/>
    <mergeCell ref="H118:I118"/>
    <mergeCell ref="E126:F126"/>
    <mergeCell ref="Q36:R36"/>
    <mergeCell ref="Q37:R37"/>
    <mergeCell ref="O38:P38"/>
    <mergeCell ref="O39:P39"/>
    <mergeCell ref="Q38:T38"/>
    <mergeCell ref="Q39:T39"/>
    <mergeCell ref="M42:P42"/>
    <mergeCell ref="E63:F63"/>
    <mergeCell ref="E86:F86"/>
    <mergeCell ref="B44:E44"/>
    <mergeCell ref="B22:I28"/>
    <mergeCell ref="F43:I43"/>
    <mergeCell ref="Q18:T18"/>
    <mergeCell ref="O18:P18"/>
    <mergeCell ref="O16:P16"/>
    <mergeCell ref="Q16:T16"/>
    <mergeCell ref="O19:P19"/>
    <mergeCell ref="O17:P17"/>
    <mergeCell ref="O20:P20"/>
    <mergeCell ref="Q20:T20"/>
    <mergeCell ref="Q17:T17"/>
    <mergeCell ref="Q19:T19"/>
    <mergeCell ref="Q15:T15"/>
    <mergeCell ref="Q12:T12"/>
    <mergeCell ref="Q10:T10"/>
    <mergeCell ref="H4:H7"/>
    <mergeCell ref="I4:I7"/>
    <mergeCell ref="D13:I13"/>
    <mergeCell ref="O11:P11"/>
    <mergeCell ref="Q11:T11"/>
    <mergeCell ref="O15:P15"/>
    <mergeCell ref="Q13:T13"/>
    <mergeCell ref="O9:P9"/>
    <mergeCell ref="Q9:T9"/>
    <mergeCell ref="Q8:T8"/>
    <mergeCell ref="O5:P5"/>
    <mergeCell ref="O4:P4"/>
    <mergeCell ref="O6:P6"/>
    <mergeCell ref="O7:P7"/>
    <mergeCell ref="O8:P8"/>
    <mergeCell ref="F6:G11"/>
    <mergeCell ref="O14:P14"/>
    <mergeCell ref="O12:P12"/>
    <mergeCell ref="O40:P40"/>
    <mergeCell ref="Q40:T40"/>
    <mergeCell ref="B1:H1"/>
    <mergeCell ref="Q4:T4"/>
    <mergeCell ref="Q5:T5"/>
    <mergeCell ref="Q6:T6"/>
    <mergeCell ref="Q7:T7"/>
    <mergeCell ref="O1:P1"/>
    <mergeCell ref="Q1:T1"/>
    <mergeCell ref="H2:I2"/>
    <mergeCell ref="C5:G5"/>
    <mergeCell ref="C2:D2"/>
    <mergeCell ref="F2:G2"/>
    <mergeCell ref="C3:G3"/>
    <mergeCell ref="C4:G4"/>
    <mergeCell ref="B6:B11"/>
    <mergeCell ref="C6:E11"/>
    <mergeCell ref="O2:P2"/>
    <mergeCell ref="Q2:T2"/>
    <mergeCell ref="O3:P3"/>
    <mergeCell ref="Q3:T3"/>
    <mergeCell ref="O10:P10"/>
    <mergeCell ref="Q22:T25"/>
    <mergeCell ref="O28:P28"/>
  </mergeCells>
  <phoneticPr fontId="5"/>
  <printOptions horizontalCentered="1" verticalCentered="1"/>
  <pageMargins left="0.19685039370078741" right="0.19685039370078741" top="0.55118110236220474" bottom="0.35433070866141736" header="0.31496062992125984" footer="0.11811023622047245"/>
  <pageSetup paperSize="9" scale="87" orientation="portrait" r:id="rId1"/>
  <headerFooter>
    <oddFooter>&amp;LKY10502-01-A</oddFooter>
  </headerFooter>
  <rowBreaks count="2" manualBreakCount="2">
    <brk id="51" max="9" man="1"/>
    <brk id="114" max="9" man="1"/>
  </rowBreaks>
  <colBreaks count="1" manualBreakCount="1">
    <brk id="10" max="177" man="1"/>
  </colBreaks>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initializer">
                <anchor moveWithCells="1" sizeWithCells="1">
                  <from>
                    <xdr:col>11</xdr:col>
                    <xdr:colOff>0</xdr:colOff>
                    <xdr:row>0</xdr:row>
                    <xdr:rowOff>0</xdr:rowOff>
                  </from>
                  <to>
                    <xdr:col>13</xdr:col>
                    <xdr:colOff>0</xdr:colOff>
                    <xdr:row>5</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852959-7FC2-4E0A-B519-4FFD4D262736}">
  <sheetPr codeName="Sheet2"/>
  <dimension ref="A1:BI313"/>
  <sheetViews>
    <sheetView zoomScale="75" zoomScaleNormal="75" workbookViewId="0">
      <selection sqref="A1:XFD1048576"/>
    </sheetView>
  </sheetViews>
  <sheetFormatPr defaultColWidth="11" defaultRowHeight="39.75" customHeight="1"/>
  <cols>
    <col min="1" max="1" width="7.125" style="2" customWidth="1"/>
    <col min="2" max="3" width="11" style="2"/>
    <col min="4" max="4" width="11" style="10"/>
    <col min="5" max="6" width="11" style="2"/>
    <col min="7" max="7" width="11" style="56"/>
    <col min="8" max="13" width="11" style="2"/>
    <col min="14" max="14" width="11" style="10"/>
    <col min="15" max="16" width="11" style="2"/>
    <col min="17" max="17" width="11" style="10"/>
    <col min="18" max="20" width="11" style="2"/>
    <col min="21" max="21" width="11" style="10"/>
    <col min="22" max="30" width="11" style="2"/>
    <col min="31" max="31" width="11" style="10"/>
    <col min="32" max="48" width="11" style="2"/>
    <col min="49" max="50" width="11" style="57"/>
    <col min="51" max="53" width="11" style="2"/>
    <col min="54" max="55" width="11" style="57"/>
    <col min="56" max="60" width="11" style="2"/>
    <col min="61" max="61" width="53.625" style="2" customWidth="1"/>
    <col min="62" max="16384" width="11" style="2"/>
  </cols>
  <sheetData>
    <row r="1" spans="1:61" s="122" customFormat="1" ht="39.75" customHeight="1">
      <c r="A1" s="155" t="s">
        <v>582</v>
      </c>
      <c r="B1" s="118" t="s">
        <v>263</v>
      </c>
      <c r="C1" s="118" t="s">
        <v>264</v>
      </c>
      <c r="D1" s="119" t="s">
        <v>52</v>
      </c>
      <c r="E1" s="118" t="s">
        <v>56</v>
      </c>
      <c r="F1" s="118" t="s">
        <v>55</v>
      </c>
      <c r="G1" s="157" t="s">
        <v>265</v>
      </c>
      <c r="H1" s="118" t="s">
        <v>266</v>
      </c>
      <c r="I1" s="118" t="s">
        <v>267</v>
      </c>
      <c r="J1" s="118" t="s">
        <v>268</v>
      </c>
      <c r="K1" s="118" t="s">
        <v>54</v>
      </c>
      <c r="L1" s="156" t="s">
        <v>1489</v>
      </c>
      <c r="M1" s="161" t="s">
        <v>269</v>
      </c>
      <c r="N1" s="119" t="s">
        <v>270</v>
      </c>
      <c r="O1" s="118" t="s">
        <v>271</v>
      </c>
      <c r="P1" s="118" t="s">
        <v>272</v>
      </c>
      <c r="Q1" s="119" t="s">
        <v>53</v>
      </c>
      <c r="R1" s="118" t="s">
        <v>273</v>
      </c>
      <c r="S1" s="118" t="s">
        <v>274</v>
      </c>
      <c r="T1" s="118" t="s">
        <v>275</v>
      </c>
      <c r="U1" s="119" t="s">
        <v>276</v>
      </c>
      <c r="V1" s="118" t="s">
        <v>277</v>
      </c>
      <c r="W1" s="118" t="s">
        <v>278</v>
      </c>
      <c r="X1" s="120" t="s">
        <v>279</v>
      </c>
      <c r="Y1" s="118" t="s">
        <v>280</v>
      </c>
      <c r="Z1" s="118" t="s">
        <v>281</v>
      </c>
      <c r="AA1" s="118" t="s">
        <v>282</v>
      </c>
      <c r="AB1" s="155" t="s">
        <v>283</v>
      </c>
      <c r="AC1" s="118" t="s">
        <v>284</v>
      </c>
      <c r="AD1" s="118" t="s">
        <v>285</v>
      </c>
      <c r="AE1" s="160" t="s">
        <v>583</v>
      </c>
      <c r="AF1" s="118" t="s">
        <v>286</v>
      </c>
      <c r="AG1" s="118" t="s">
        <v>287</v>
      </c>
      <c r="AH1" s="118" t="s">
        <v>288</v>
      </c>
      <c r="AI1" s="118" t="s">
        <v>289</v>
      </c>
      <c r="AJ1" s="118" t="s">
        <v>290</v>
      </c>
      <c r="AK1" s="118" t="s">
        <v>291</v>
      </c>
      <c r="AL1" s="118" t="s">
        <v>292</v>
      </c>
      <c r="AM1" s="118" t="s">
        <v>293</v>
      </c>
      <c r="AN1" s="118" t="s">
        <v>294</v>
      </c>
      <c r="AO1" s="118" t="s">
        <v>295</v>
      </c>
      <c r="AP1" s="118" t="s">
        <v>296</v>
      </c>
      <c r="AQ1" s="118" t="s">
        <v>297</v>
      </c>
      <c r="AR1" s="118" t="s">
        <v>298</v>
      </c>
      <c r="AS1" s="118" t="s">
        <v>299</v>
      </c>
      <c r="AT1" s="155" t="s">
        <v>300</v>
      </c>
      <c r="AU1" s="118" t="s">
        <v>301</v>
      </c>
      <c r="AV1" s="118" t="s">
        <v>302</v>
      </c>
      <c r="AW1" s="121" t="s">
        <v>303</v>
      </c>
      <c r="AX1" s="121" t="s">
        <v>304</v>
      </c>
      <c r="AY1" s="118" t="s">
        <v>305</v>
      </c>
      <c r="AZ1" s="155" t="s">
        <v>584</v>
      </c>
      <c r="BA1" s="118" t="s">
        <v>306</v>
      </c>
      <c r="BB1" s="121" t="s">
        <v>307</v>
      </c>
      <c r="BC1" s="121" t="s">
        <v>308</v>
      </c>
      <c r="BD1" s="118" t="s">
        <v>309</v>
      </c>
      <c r="BE1" s="122" t="s">
        <v>557</v>
      </c>
      <c r="BF1" s="122" t="s">
        <v>558</v>
      </c>
      <c r="BI1" s="122" t="s">
        <v>1578</v>
      </c>
    </row>
    <row r="2" spans="1:61" ht="39.75" customHeight="1">
      <c r="A2" s="2">
        <v>230</v>
      </c>
      <c r="B2" s="2" t="s">
        <v>1566</v>
      </c>
      <c r="C2" s="2" t="s">
        <v>754</v>
      </c>
      <c r="F2" s="2" t="s">
        <v>1190</v>
      </c>
      <c r="G2" s="10">
        <v>45841</v>
      </c>
      <c r="H2" s="10" t="s">
        <v>1191</v>
      </c>
      <c r="I2" s="10" t="s">
        <v>1190</v>
      </c>
      <c r="J2" s="10"/>
      <c r="K2" s="10" t="s">
        <v>54</v>
      </c>
      <c r="L2" s="10" t="s">
        <v>529</v>
      </c>
      <c r="M2" s="10" t="s">
        <v>1172</v>
      </c>
      <c r="O2" s="10" t="s">
        <v>755</v>
      </c>
      <c r="P2" s="10" t="s">
        <v>756</v>
      </c>
      <c r="Q2" s="10" t="s">
        <v>422</v>
      </c>
      <c r="R2" s="10" t="s">
        <v>422</v>
      </c>
      <c r="S2" s="10">
        <v>45632</v>
      </c>
      <c r="T2" s="10" t="s">
        <v>1501</v>
      </c>
      <c r="U2" s="10" t="s">
        <v>757</v>
      </c>
      <c r="V2" s="10"/>
      <c r="W2" s="10" t="s">
        <v>1173</v>
      </c>
      <c r="X2" s="10">
        <v>-287861</v>
      </c>
      <c r="Y2" s="10" t="s">
        <v>399</v>
      </c>
      <c r="Z2" s="10" t="s">
        <v>407</v>
      </c>
      <c r="AA2" s="10" t="s">
        <v>407</v>
      </c>
      <c r="AB2" s="10" t="s">
        <v>758</v>
      </c>
      <c r="AC2" s="10"/>
      <c r="AD2" s="10" t="s">
        <v>1193</v>
      </c>
      <c r="AE2" s="10">
        <v>-287861</v>
      </c>
      <c r="AF2" s="10"/>
      <c r="AG2" s="10"/>
      <c r="AH2" s="10"/>
      <c r="AI2" s="10" t="s">
        <v>392</v>
      </c>
      <c r="AJ2" s="10"/>
      <c r="AK2" s="10"/>
      <c r="AL2" s="10"/>
      <c r="AM2" s="10"/>
      <c r="AN2" s="10"/>
      <c r="AO2" s="10"/>
      <c r="AP2" s="10" t="s">
        <v>585</v>
      </c>
      <c r="AQ2" s="10"/>
      <c r="AR2" s="10"/>
      <c r="AS2" s="10" t="s">
        <v>752</v>
      </c>
      <c r="AT2" s="10"/>
      <c r="AU2" s="10"/>
      <c r="AV2" s="10">
        <v>-287861</v>
      </c>
      <c r="AW2" s="10">
        <v>-287861</v>
      </c>
      <c r="AX2" s="10" t="s">
        <v>759</v>
      </c>
      <c r="AY2" s="10" t="s">
        <v>1502</v>
      </c>
      <c r="AZ2" s="10" t="s">
        <v>759</v>
      </c>
      <c r="BA2" s="10"/>
      <c r="BB2" s="10">
        <v>45267.688217592593</v>
      </c>
      <c r="BC2" s="10">
        <v>45849.67150462963</v>
      </c>
      <c r="BD2" s="10" t="s">
        <v>760</v>
      </c>
      <c r="BE2" s="2" t="s">
        <v>585</v>
      </c>
      <c r="BF2" s="2" t="s">
        <v>761</v>
      </c>
      <c r="BG2" s="2" t="s">
        <v>1568</v>
      </c>
      <c r="BH2" s="2" t="s">
        <v>1567</v>
      </c>
      <c r="BI2" s="2" t="s">
        <v>1569</v>
      </c>
    </row>
    <row r="3" spans="1:61" ht="39.75" customHeight="1">
      <c r="A3" s="2">
        <v>253</v>
      </c>
      <c r="B3" s="2" t="s">
        <v>536</v>
      </c>
      <c r="F3" s="2" t="s">
        <v>332</v>
      </c>
      <c r="G3" s="10">
        <v>45313</v>
      </c>
      <c r="H3" s="10"/>
      <c r="I3" s="10" t="s">
        <v>537</v>
      </c>
      <c r="J3" s="10"/>
      <c r="K3" s="10" t="s">
        <v>54</v>
      </c>
      <c r="L3" s="10" t="s">
        <v>529</v>
      </c>
      <c r="M3" s="10" t="s">
        <v>385</v>
      </c>
      <c r="O3" s="10" t="s">
        <v>531</v>
      </c>
      <c r="P3" s="10" t="s">
        <v>532</v>
      </c>
      <c r="Q3" s="10" t="s">
        <v>533</v>
      </c>
      <c r="R3" s="10" t="s">
        <v>534</v>
      </c>
      <c r="S3" s="10">
        <v>45002</v>
      </c>
      <c r="T3" s="10" t="s">
        <v>538</v>
      </c>
      <c r="U3" s="10" t="s">
        <v>539</v>
      </c>
      <c r="V3" s="10" t="s">
        <v>540</v>
      </c>
      <c r="W3" s="10"/>
      <c r="X3" s="10">
        <v>45139</v>
      </c>
      <c r="Y3" s="10" t="s">
        <v>387</v>
      </c>
      <c r="Z3" s="10" t="s">
        <v>407</v>
      </c>
      <c r="AA3" s="10" t="s">
        <v>407</v>
      </c>
      <c r="AB3" s="10" t="s">
        <v>402</v>
      </c>
      <c r="AC3" s="10" t="s">
        <v>603</v>
      </c>
      <c r="AD3" s="10" t="s">
        <v>541</v>
      </c>
      <c r="AE3" s="10">
        <v>-287861</v>
      </c>
      <c r="AF3" s="10"/>
      <c r="AG3" s="10"/>
      <c r="AH3" s="10"/>
      <c r="AI3" s="10"/>
      <c r="AJ3" s="10"/>
      <c r="AK3" s="10" t="s">
        <v>542</v>
      </c>
      <c r="AL3" s="10"/>
      <c r="AM3" s="10"/>
      <c r="AN3" s="10"/>
      <c r="AO3" s="10" t="s">
        <v>543</v>
      </c>
      <c r="AP3" s="10"/>
      <c r="AQ3" s="10"/>
      <c r="AR3" s="10"/>
      <c r="AS3" s="10" t="s">
        <v>544</v>
      </c>
      <c r="AT3" s="10" t="s">
        <v>396</v>
      </c>
      <c r="AU3" s="10" t="s">
        <v>396</v>
      </c>
      <c r="AV3" s="10">
        <v>45317</v>
      </c>
      <c r="AW3" s="10">
        <v>-287861</v>
      </c>
      <c r="AX3" s="10" t="s">
        <v>415</v>
      </c>
      <c r="AY3" s="10" t="s">
        <v>530</v>
      </c>
      <c r="AZ3" s="10" t="s">
        <v>415</v>
      </c>
      <c r="BA3" s="10"/>
      <c r="BB3" s="10">
        <v>45313.479537037034</v>
      </c>
      <c r="BC3" s="10">
        <v>45559.617048611108</v>
      </c>
      <c r="BD3" s="10" t="s">
        <v>545</v>
      </c>
      <c r="BG3" s="2" t="s">
        <v>1570</v>
      </c>
      <c r="BH3" s="2" t="s">
        <v>1567</v>
      </c>
      <c r="BI3" s="2" t="s">
        <v>1571</v>
      </c>
    </row>
    <row r="4" spans="1:61" ht="39.75" customHeight="1">
      <c r="A4" s="2">
        <v>362</v>
      </c>
      <c r="B4" s="2" t="s">
        <v>608</v>
      </c>
      <c r="F4" s="2" t="s">
        <v>384</v>
      </c>
      <c r="G4" s="10">
        <v>45538</v>
      </c>
      <c r="H4" s="10" t="s">
        <v>609</v>
      </c>
      <c r="I4" s="10" t="s">
        <v>610</v>
      </c>
      <c r="J4" s="10" t="s">
        <v>611</v>
      </c>
      <c r="K4" s="10" t="s">
        <v>54</v>
      </c>
      <c r="L4" s="10" t="s">
        <v>612</v>
      </c>
      <c r="M4" s="10" t="s">
        <v>385</v>
      </c>
      <c r="N4" s="10" t="s">
        <v>117</v>
      </c>
      <c r="O4" s="10" t="s">
        <v>613</v>
      </c>
      <c r="P4" s="10" t="s">
        <v>614</v>
      </c>
      <c r="Q4" s="10" t="s">
        <v>615</v>
      </c>
      <c r="R4" s="10" t="s">
        <v>616</v>
      </c>
      <c r="S4" s="10">
        <v>43888</v>
      </c>
      <c r="T4" s="10" t="s">
        <v>617</v>
      </c>
      <c r="U4" s="10" t="s">
        <v>618</v>
      </c>
      <c r="V4" s="10"/>
      <c r="W4" s="10"/>
      <c r="X4" s="10">
        <v>45504</v>
      </c>
      <c r="Y4" s="10" t="s">
        <v>387</v>
      </c>
      <c r="Z4" s="10" t="s">
        <v>388</v>
      </c>
      <c r="AA4" s="10" t="s">
        <v>389</v>
      </c>
      <c r="AB4" s="10" t="s">
        <v>402</v>
      </c>
      <c r="AC4" s="10"/>
      <c r="AD4" s="10" t="s">
        <v>535</v>
      </c>
      <c r="AE4" s="10">
        <v>-287861</v>
      </c>
      <c r="AF4" s="10"/>
      <c r="AG4" s="10"/>
      <c r="AH4" s="10" t="s">
        <v>403</v>
      </c>
      <c r="AI4" s="10"/>
      <c r="AJ4" s="10"/>
      <c r="AK4" s="10" t="s">
        <v>619</v>
      </c>
      <c r="AL4" s="10"/>
      <c r="AM4" s="10"/>
      <c r="AN4" s="10"/>
      <c r="AO4" s="10" t="s">
        <v>620</v>
      </c>
      <c r="AP4" s="10" t="s">
        <v>604</v>
      </c>
      <c r="AQ4" s="10"/>
      <c r="AR4" s="10" t="s">
        <v>395</v>
      </c>
      <c r="AS4" s="10" t="s">
        <v>621</v>
      </c>
      <c r="AT4" s="10" t="s">
        <v>516</v>
      </c>
      <c r="AU4" s="10" t="s">
        <v>396</v>
      </c>
      <c r="AV4" s="10">
        <v>-287861</v>
      </c>
      <c r="AW4" s="10">
        <v>-287861</v>
      </c>
      <c r="AX4" s="10" t="s">
        <v>397</v>
      </c>
      <c r="AY4" s="10" t="s">
        <v>588</v>
      </c>
      <c r="AZ4" s="10" t="s">
        <v>515</v>
      </c>
      <c r="BA4" s="10"/>
      <c r="BB4" s="10">
        <v>45538.471643518518</v>
      </c>
      <c r="BC4" s="10">
        <v>45566.576458333337</v>
      </c>
      <c r="BD4" s="10" t="s">
        <v>622</v>
      </c>
      <c r="BE4" s="2" t="s">
        <v>586</v>
      </c>
      <c r="BG4" s="2" t="s">
        <v>1570</v>
      </c>
      <c r="BH4" s="2" t="s">
        <v>1567</v>
      </c>
      <c r="BI4" s="2" t="s">
        <v>1571</v>
      </c>
    </row>
    <row r="5" spans="1:61" ht="39.75" customHeight="1">
      <c r="A5" s="2">
        <v>376</v>
      </c>
      <c r="B5" s="2" t="s">
        <v>627</v>
      </c>
      <c r="F5" s="2" t="s">
        <v>361</v>
      </c>
      <c r="G5" s="10">
        <v>45565</v>
      </c>
      <c r="H5" s="10" t="s">
        <v>587</v>
      </c>
      <c r="I5" s="10" t="s">
        <v>419</v>
      </c>
      <c r="J5" s="10" t="s">
        <v>628</v>
      </c>
      <c r="K5" s="10" t="s">
        <v>54</v>
      </c>
      <c r="L5" s="10" t="s">
        <v>629</v>
      </c>
      <c r="M5" s="10" t="s">
        <v>398</v>
      </c>
      <c r="N5" s="10" t="s">
        <v>145</v>
      </c>
      <c r="O5" s="10" t="s">
        <v>526</v>
      </c>
      <c r="P5" s="10" t="s">
        <v>630</v>
      </c>
      <c r="Q5" s="10" t="s">
        <v>631</v>
      </c>
      <c r="R5" s="10" t="s">
        <v>632</v>
      </c>
      <c r="S5" s="10">
        <v>45444</v>
      </c>
      <c r="T5" s="10" t="s">
        <v>427</v>
      </c>
      <c r="U5" s="10" t="s">
        <v>633</v>
      </c>
      <c r="V5" s="10" t="s">
        <v>634</v>
      </c>
      <c r="W5" s="10"/>
      <c r="X5" s="10">
        <v>-287861</v>
      </c>
      <c r="Y5" s="10" t="s">
        <v>399</v>
      </c>
      <c r="Z5" s="10" t="s">
        <v>400</v>
      </c>
      <c r="AA5" s="10" t="s">
        <v>401</v>
      </c>
      <c r="AB5" s="10" t="s">
        <v>402</v>
      </c>
      <c r="AC5" s="10" t="s">
        <v>635</v>
      </c>
      <c r="AD5" s="10" t="s">
        <v>535</v>
      </c>
      <c r="AE5" s="10">
        <v>-287861</v>
      </c>
      <c r="AF5" s="10"/>
      <c r="AG5" s="10"/>
      <c r="AH5" s="10" t="s">
        <v>391</v>
      </c>
      <c r="AI5" s="10" t="s">
        <v>392</v>
      </c>
      <c r="AJ5" s="10"/>
      <c r="AK5" s="10" t="s">
        <v>605</v>
      </c>
      <c r="AL5" s="10"/>
      <c r="AM5" s="10"/>
      <c r="AN5" s="10"/>
      <c r="AO5" s="10" t="s">
        <v>636</v>
      </c>
      <c r="AP5" s="10" t="s">
        <v>604</v>
      </c>
      <c r="AQ5" s="10" t="s">
        <v>637</v>
      </c>
      <c r="AR5" s="10" t="s">
        <v>421</v>
      </c>
      <c r="AS5" s="10" t="s">
        <v>638</v>
      </c>
      <c r="AT5" s="10" t="s">
        <v>393</v>
      </c>
      <c r="AU5" s="10" t="s">
        <v>396</v>
      </c>
      <c r="AV5" s="10">
        <v>45576</v>
      </c>
      <c r="AW5" s="10">
        <v>-287861</v>
      </c>
      <c r="AX5" s="10" t="s">
        <v>397</v>
      </c>
      <c r="AY5" s="10" t="s">
        <v>639</v>
      </c>
      <c r="AZ5" s="10" t="s">
        <v>420</v>
      </c>
      <c r="BA5" s="10"/>
      <c r="BB5" s="10">
        <v>45565.473310185182</v>
      </c>
      <c r="BC5" s="10">
        <v>45588.368761574071</v>
      </c>
      <c r="BD5" s="10" t="s">
        <v>640</v>
      </c>
      <c r="BE5" s="2" t="s">
        <v>586</v>
      </c>
      <c r="BG5" s="2" t="s">
        <v>1570</v>
      </c>
      <c r="BH5" s="2" t="s">
        <v>1567</v>
      </c>
      <c r="BI5" s="2" t="s">
        <v>1571</v>
      </c>
    </row>
    <row r="6" spans="1:61" ht="39.75" customHeight="1">
      <c r="A6" s="2">
        <v>399</v>
      </c>
      <c r="B6" s="2" t="s">
        <v>641</v>
      </c>
      <c r="C6" s="2" t="s">
        <v>642</v>
      </c>
      <c r="E6" s="2" t="s">
        <v>383</v>
      </c>
      <c r="F6" s="2" t="s">
        <v>384</v>
      </c>
      <c r="G6" s="10">
        <v>45582</v>
      </c>
      <c r="H6" s="10"/>
      <c r="I6" s="10" t="s">
        <v>643</v>
      </c>
      <c r="J6" s="10" t="s">
        <v>644</v>
      </c>
      <c r="K6" s="10" t="s">
        <v>54</v>
      </c>
      <c r="L6" s="10" t="s">
        <v>684</v>
      </c>
      <c r="M6" s="10" t="s">
        <v>385</v>
      </c>
      <c r="N6" s="10" t="s">
        <v>123</v>
      </c>
      <c r="O6" s="10"/>
      <c r="P6" s="10" t="s">
        <v>645</v>
      </c>
      <c r="Q6" s="10" t="s">
        <v>646</v>
      </c>
      <c r="R6" s="10" t="s">
        <v>422</v>
      </c>
      <c r="S6" s="10">
        <v>45245</v>
      </c>
      <c r="T6" s="10" t="s">
        <v>598</v>
      </c>
      <c r="U6" s="10" t="s">
        <v>647</v>
      </c>
      <c r="V6" s="10"/>
      <c r="W6" s="10"/>
      <c r="X6" s="10">
        <v>-287861</v>
      </c>
      <c r="Y6" s="10"/>
      <c r="Z6" s="10"/>
      <c r="AA6" s="10"/>
      <c r="AB6" s="10" t="s">
        <v>402</v>
      </c>
      <c r="AC6" s="10"/>
      <c r="AD6" s="10" t="s">
        <v>535</v>
      </c>
      <c r="AE6" s="10">
        <v>-287861</v>
      </c>
      <c r="AF6" s="10"/>
      <c r="AG6" s="10"/>
      <c r="AH6" s="10" t="s">
        <v>403</v>
      </c>
      <c r="AI6" s="10" t="s">
        <v>599</v>
      </c>
      <c r="AJ6" s="10" t="s">
        <v>648</v>
      </c>
      <c r="AK6" s="10" t="s">
        <v>649</v>
      </c>
      <c r="AL6" s="10"/>
      <c r="AM6" s="10"/>
      <c r="AN6" s="10"/>
      <c r="AO6" s="10" t="s">
        <v>650</v>
      </c>
      <c r="AP6" s="10" t="s">
        <v>606</v>
      </c>
      <c r="AQ6" s="10"/>
      <c r="AR6" s="10" t="s">
        <v>600</v>
      </c>
      <c r="AS6" s="10" t="s">
        <v>685</v>
      </c>
      <c r="AT6" s="10" t="s">
        <v>546</v>
      </c>
      <c r="AU6" s="10" t="s">
        <v>396</v>
      </c>
      <c r="AV6" s="10">
        <v>-287861</v>
      </c>
      <c r="AW6" s="10">
        <v>-287861</v>
      </c>
      <c r="AX6" s="10" t="s">
        <v>397</v>
      </c>
      <c r="AY6" s="10" t="s">
        <v>651</v>
      </c>
      <c r="AZ6" s="10" t="s">
        <v>515</v>
      </c>
      <c r="BA6" s="10"/>
      <c r="BB6" s="10">
        <v>45582.683194444442</v>
      </c>
      <c r="BC6" s="10">
        <v>45601.648923611108</v>
      </c>
      <c r="BD6" s="10" t="s">
        <v>686</v>
      </c>
      <c r="BE6" s="2" t="s">
        <v>585</v>
      </c>
      <c r="BF6" s="2" t="s">
        <v>687</v>
      </c>
      <c r="BG6" s="2" t="s">
        <v>1570</v>
      </c>
      <c r="BH6" s="2" t="s">
        <v>1567</v>
      </c>
      <c r="BI6" s="2" t="s">
        <v>1571</v>
      </c>
    </row>
    <row r="7" spans="1:61" ht="39.75" customHeight="1">
      <c r="A7" s="2">
        <v>402</v>
      </c>
      <c r="B7" s="2" t="s">
        <v>652</v>
      </c>
      <c r="C7" s="2" t="s">
        <v>653</v>
      </c>
      <c r="E7" s="2" t="s">
        <v>383</v>
      </c>
      <c r="F7" s="2" t="s">
        <v>384</v>
      </c>
      <c r="G7" s="10">
        <v>45586</v>
      </c>
      <c r="H7" s="10"/>
      <c r="I7" s="10" t="s">
        <v>654</v>
      </c>
      <c r="J7" s="10" t="s">
        <v>654</v>
      </c>
      <c r="K7" s="10" t="s">
        <v>655</v>
      </c>
      <c r="L7" s="10" t="s">
        <v>529</v>
      </c>
      <c r="M7" s="10" t="s">
        <v>385</v>
      </c>
      <c r="N7" s="10" t="s">
        <v>120</v>
      </c>
      <c r="O7" s="10" t="s">
        <v>656</v>
      </c>
      <c r="P7" s="10" t="s">
        <v>657</v>
      </c>
      <c r="Q7" s="10" t="s">
        <v>658</v>
      </c>
      <c r="R7" s="10" t="s">
        <v>659</v>
      </c>
      <c r="S7" s="10">
        <v>45580</v>
      </c>
      <c r="T7" s="10" t="s">
        <v>660</v>
      </c>
      <c r="U7" s="10" t="s">
        <v>661</v>
      </c>
      <c r="V7" s="10"/>
      <c r="W7" s="10"/>
      <c r="X7" s="10">
        <v>45582</v>
      </c>
      <c r="Y7" s="10" t="s">
        <v>399</v>
      </c>
      <c r="Z7" s="10" t="s">
        <v>388</v>
      </c>
      <c r="AA7" s="10" t="s">
        <v>389</v>
      </c>
      <c r="AB7" s="10" t="s">
        <v>402</v>
      </c>
      <c r="AC7" s="10"/>
      <c r="AD7" s="10"/>
      <c r="AE7" s="10">
        <v>-287861</v>
      </c>
      <c r="AF7" s="10"/>
      <c r="AG7" s="10"/>
      <c r="AH7" s="10"/>
      <c r="AI7" s="10"/>
      <c r="AJ7" s="10"/>
      <c r="AK7" s="10"/>
      <c r="AL7" s="10"/>
      <c r="AM7" s="10"/>
      <c r="AN7" s="10"/>
      <c r="AO7" s="10"/>
      <c r="AP7" s="10"/>
      <c r="AQ7" s="10"/>
      <c r="AR7" s="10"/>
      <c r="AS7" s="10"/>
      <c r="AT7" s="10"/>
      <c r="AU7" s="10"/>
      <c r="AV7" s="10">
        <v>45590</v>
      </c>
      <c r="AW7" s="10">
        <v>-287861</v>
      </c>
      <c r="AX7" s="10" t="s">
        <v>515</v>
      </c>
      <c r="AY7" s="10" t="s">
        <v>662</v>
      </c>
      <c r="AZ7" s="10" t="s">
        <v>515</v>
      </c>
      <c r="BA7" s="10"/>
      <c r="BB7" s="10">
        <v>45586.464432870373</v>
      </c>
      <c r="BC7" s="10">
        <v>45586.464583333334</v>
      </c>
      <c r="BD7" s="10" t="s">
        <v>663</v>
      </c>
      <c r="BE7" s="2" t="s">
        <v>585</v>
      </c>
      <c r="BG7" s="2" t="s">
        <v>1570</v>
      </c>
      <c r="BH7" s="2" t="s">
        <v>1567</v>
      </c>
      <c r="BI7" s="2" t="s">
        <v>1571</v>
      </c>
    </row>
    <row r="8" spans="1:61" ht="39.75" customHeight="1">
      <c r="A8" s="2">
        <v>407</v>
      </c>
      <c r="B8" s="2" t="s">
        <v>1165</v>
      </c>
      <c r="F8" s="2" t="s">
        <v>1166</v>
      </c>
      <c r="G8" s="10">
        <v>45595</v>
      </c>
      <c r="H8" s="10" t="s">
        <v>674</v>
      </c>
      <c r="I8" s="10" t="s">
        <v>675</v>
      </c>
      <c r="J8" s="10" t="s">
        <v>676</v>
      </c>
      <c r="K8" s="10" t="s">
        <v>54</v>
      </c>
      <c r="L8" s="10" t="s">
        <v>715</v>
      </c>
      <c r="M8" s="10" t="s">
        <v>385</v>
      </c>
      <c r="N8" s="10" t="s">
        <v>123</v>
      </c>
      <c r="O8" s="10" t="s">
        <v>677</v>
      </c>
      <c r="P8" s="10" t="s">
        <v>678</v>
      </c>
      <c r="Q8" s="10" t="s">
        <v>679</v>
      </c>
      <c r="R8" s="10" t="s">
        <v>680</v>
      </c>
      <c r="S8" s="10">
        <v>43089</v>
      </c>
      <c r="T8" s="10" t="s">
        <v>681</v>
      </c>
      <c r="U8" s="10" t="s">
        <v>682</v>
      </c>
      <c r="V8" s="10" t="s">
        <v>683</v>
      </c>
      <c r="W8" s="10"/>
      <c r="X8" s="10">
        <v>45566</v>
      </c>
      <c r="Y8" s="10" t="s">
        <v>387</v>
      </c>
      <c r="Z8" s="10" t="s">
        <v>407</v>
      </c>
      <c r="AA8" s="10" t="s">
        <v>407</v>
      </c>
      <c r="AB8" s="10" t="s">
        <v>402</v>
      </c>
      <c r="AC8" s="10"/>
      <c r="AD8" s="10" t="s">
        <v>535</v>
      </c>
      <c r="AE8" s="10">
        <v>-287861</v>
      </c>
      <c r="AF8" s="10"/>
      <c r="AG8" s="10"/>
      <c r="AH8" s="10" t="s">
        <v>403</v>
      </c>
      <c r="AI8" s="10"/>
      <c r="AJ8" s="10"/>
      <c r="AK8" s="10"/>
      <c r="AL8" s="10"/>
      <c r="AM8" s="10"/>
      <c r="AN8" s="10" t="s">
        <v>385</v>
      </c>
      <c r="AO8" s="10" t="s">
        <v>716</v>
      </c>
      <c r="AP8" s="10"/>
      <c r="AQ8" s="10"/>
      <c r="AR8" s="10" t="s">
        <v>395</v>
      </c>
      <c r="AS8" s="10" t="s">
        <v>717</v>
      </c>
      <c r="AT8" s="10" t="s">
        <v>516</v>
      </c>
      <c r="AU8" s="10" t="s">
        <v>396</v>
      </c>
      <c r="AV8" s="10">
        <v>45610</v>
      </c>
      <c r="AW8" s="10">
        <v>-287861</v>
      </c>
      <c r="AX8" s="10" t="s">
        <v>397</v>
      </c>
      <c r="AY8" s="10" t="s">
        <v>718</v>
      </c>
      <c r="AZ8" s="10" t="s">
        <v>425</v>
      </c>
      <c r="BA8" s="10"/>
      <c r="BB8" s="10">
        <v>45595.495196759257</v>
      </c>
      <c r="BC8" s="10">
        <v>45763.707337962966</v>
      </c>
      <c r="BD8" s="10" t="s">
        <v>719</v>
      </c>
      <c r="BE8" s="2" t="s">
        <v>586</v>
      </c>
      <c r="BG8" s="2" t="s">
        <v>1570</v>
      </c>
      <c r="BH8" s="2" t="s">
        <v>1567</v>
      </c>
      <c r="BI8" s="2" t="s">
        <v>1571</v>
      </c>
    </row>
    <row r="9" spans="1:61" ht="39.75" customHeight="1">
      <c r="A9" s="2">
        <v>408</v>
      </c>
      <c r="B9" s="2" t="s">
        <v>664</v>
      </c>
      <c r="C9" s="2" t="s">
        <v>665</v>
      </c>
      <c r="E9" s="2" t="s">
        <v>383</v>
      </c>
      <c r="F9" s="2" t="s">
        <v>384</v>
      </c>
      <c r="G9" s="10">
        <v>45595</v>
      </c>
      <c r="H9" s="10"/>
      <c r="I9" s="10" t="s">
        <v>666</v>
      </c>
      <c r="J9" s="10" t="s">
        <v>667</v>
      </c>
      <c r="K9" s="10" t="s">
        <v>54</v>
      </c>
      <c r="L9" s="10" t="s">
        <v>720</v>
      </c>
      <c r="M9" s="10" t="s">
        <v>385</v>
      </c>
      <c r="N9" s="10" t="s">
        <v>139</v>
      </c>
      <c r="O9" s="10"/>
      <c r="P9" s="10" t="s">
        <v>668</v>
      </c>
      <c r="Q9" s="10" t="s">
        <v>669</v>
      </c>
      <c r="R9" s="10" t="s">
        <v>422</v>
      </c>
      <c r="S9" s="10">
        <v>45310</v>
      </c>
      <c r="T9" s="10" t="s">
        <v>670</v>
      </c>
      <c r="U9" s="10" t="s">
        <v>671</v>
      </c>
      <c r="V9" s="10" t="s">
        <v>672</v>
      </c>
      <c r="W9" s="10"/>
      <c r="X9" s="10">
        <v>45569</v>
      </c>
      <c r="Y9" s="10" t="s">
        <v>387</v>
      </c>
      <c r="Z9" s="10" t="s">
        <v>388</v>
      </c>
      <c r="AA9" s="10" t="s">
        <v>389</v>
      </c>
      <c r="AB9" s="10" t="s">
        <v>402</v>
      </c>
      <c r="AC9" s="10"/>
      <c r="AD9" s="10" t="s">
        <v>535</v>
      </c>
      <c r="AE9" s="10">
        <v>-287861</v>
      </c>
      <c r="AF9" s="10"/>
      <c r="AG9" s="10"/>
      <c r="AH9" s="10" t="s">
        <v>403</v>
      </c>
      <c r="AI9" s="10" t="s">
        <v>392</v>
      </c>
      <c r="AJ9" s="10"/>
      <c r="AK9" s="10" t="s">
        <v>721</v>
      </c>
      <c r="AL9" s="10"/>
      <c r="AM9" s="10"/>
      <c r="AN9" s="10"/>
      <c r="AO9" s="10" t="s">
        <v>722</v>
      </c>
      <c r="AP9" s="10"/>
      <c r="AQ9" s="10"/>
      <c r="AR9" s="10" t="s">
        <v>395</v>
      </c>
      <c r="AS9" s="10" t="s">
        <v>723</v>
      </c>
      <c r="AT9" s="10" t="s">
        <v>393</v>
      </c>
      <c r="AU9" s="10" t="s">
        <v>393</v>
      </c>
      <c r="AV9" s="10">
        <v>45608</v>
      </c>
      <c r="AW9" s="10">
        <v>-287861</v>
      </c>
      <c r="AX9" s="10" t="s">
        <v>397</v>
      </c>
      <c r="AY9" s="10" t="s">
        <v>651</v>
      </c>
      <c r="AZ9" s="10" t="s">
        <v>515</v>
      </c>
      <c r="BA9" s="10"/>
      <c r="BB9" s="10">
        <v>45595.741655092592</v>
      </c>
      <c r="BC9" s="10">
        <v>45621.730462962965</v>
      </c>
      <c r="BD9" s="10" t="s">
        <v>673</v>
      </c>
      <c r="BE9" s="2" t="s">
        <v>586</v>
      </c>
      <c r="BG9" s="2" t="s">
        <v>1570</v>
      </c>
      <c r="BH9" s="2" t="s">
        <v>1567</v>
      </c>
      <c r="BI9" s="2" t="s">
        <v>1571</v>
      </c>
    </row>
    <row r="10" spans="1:61" ht="39.75" customHeight="1">
      <c r="A10" s="2">
        <v>411</v>
      </c>
      <c r="B10" s="2" t="s">
        <v>689</v>
      </c>
      <c r="F10" s="2" t="s">
        <v>384</v>
      </c>
      <c r="G10" s="10">
        <v>45610</v>
      </c>
      <c r="H10" s="10" t="s">
        <v>690</v>
      </c>
      <c r="I10" s="10" t="s">
        <v>643</v>
      </c>
      <c r="J10" s="10" t="s">
        <v>691</v>
      </c>
      <c r="K10" s="10" t="s">
        <v>54</v>
      </c>
      <c r="L10" s="10" t="s">
        <v>724</v>
      </c>
      <c r="M10" s="10" t="s">
        <v>385</v>
      </c>
      <c r="N10" s="10" t="s">
        <v>123</v>
      </c>
      <c r="O10" s="10" t="s">
        <v>591</v>
      </c>
      <c r="P10" s="10" t="s">
        <v>645</v>
      </c>
      <c r="Q10" s="10" t="s">
        <v>646</v>
      </c>
      <c r="R10" s="10" t="s">
        <v>692</v>
      </c>
      <c r="S10" s="10">
        <v>-287861</v>
      </c>
      <c r="T10" s="10" t="s">
        <v>693</v>
      </c>
      <c r="U10" s="10" t="s">
        <v>694</v>
      </c>
      <c r="V10" s="10" t="s">
        <v>695</v>
      </c>
      <c r="W10" s="10"/>
      <c r="X10" s="10">
        <v>45609</v>
      </c>
      <c r="Y10" s="10" t="s">
        <v>387</v>
      </c>
      <c r="Z10" s="10" t="s">
        <v>388</v>
      </c>
      <c r="AA10" s="10" t="s">
        <v>389</v>
      </c>
      <c r="AB10" s="10" t="s">
        <v>402</v>
      </c>
      <c r="AC10" s="10"/>
      <c r="AD10" s="10" t="s">
        <v>705</v>
      </c>
      <c r="AE10" s="10">
        <v>-287861</v>
      </c>
      <c r="AF10" s="10"/>
      <c r="AG10" s="10"/>
      <c r="AH10" s="10" t="s">
        <v>403</v>
      </c>
      <c r="AI10" s="10"/>
      <c r="AJ10" s="10"/>
      <c r="AK10" s="10" t="s">
        <v>725</v>
      </c>
      <c r="AL10" s="10"/>
      <c r="AM10" s="10"/>
      <c r="AN10" s="10"/>
      <c r="AO10" s="10" t="s">
        <v>726</v>
      </c>
      <c r="AP10" s="10" t="s">
        <v>604</v>
      </c>
      <c r="AQ10" s="10"/>
      <c r="AR10" s="10" t="s">
        <v>395</v>
      </c>
      <c r="AS10" s="10" t="s">
        <v>727</v>
      </c>
      <c r="AT10" s="10" t="s">
        <v>516</v>
      </c>
      <c r="AU10" s="10" t="s">
        <v>396</v>
      </c>
      <c r="AV10" s="10">
        <v>-287861</v>
      </c>
      <c r="AW10" s="10">
        <v>-287861</v>
      </c>
      <c r="AX10" s="10" t="s">
        <v>397</v>
      </c>
      <c r="AY10" s="10" t="s">
        <v>728</v>
      </c>
      <c r="AZ10" s="10" t="s">
        <v>515</v>
      </c>
      <c r="BA10" s="10"/>
      <c r="BB10" s="10">
        <v>45610.457453703704</v>
      </c>
      <c r="BC10" s="10">
        <v>45630.625879629632</v>
      </c>
      <c r="BD10" s="10" t="s">
        <v>729</v>
      </c>
      <c r="BE10" s="2" t="s">
        <v>586</v>
      </c>
      <c r="BG10" s="2" t="s">
        <v>1570</v>
      </c>
      <c r="BH10" s="2" t="s">
        <v>1567</v>
      </c>
      <c r="BI10" s="2" t="s">
        <v>1571</v>
      </c>
    </row>
    <row r="11" spans="1:61" ht="39.75" customHeight="1">
      <c r="A11" s="2">
        <v>414</v>
      </c>
      <c r="B11" s="2" t="s">
        <v>697</v>
      </c>
      <c r="F11" s="2" t="s">
        <v>320</v>
      </c>
      <c r="G11" s="10">
        <v>45614</v>
      </c>
      <c r="H11" s="10" t="s">
        <v>587</v>
      </c>
      <c r="I11" s="10" t="s">
        <v>419</v>
      </c>
      <c r="J11" s="10"/>
      <c r="K11" s="10" t="s">
        <v>54</v>
      </c>
      <c r="L11" s="10" t="s">
        <v>706</v>
      </c>
      <c r="M11" s="10" t="s">
        <v>398</v>
      </c>
      <c r="O11" s="10" t="s">
        <v>698</v>
      </c>
      <c r="P11" s="10" t="s">
        <v>699</v>
      </c>
      <c r="Q11" s="10" t="s">
        <v>700</v>
      </c>
      <c r="R11" s="10" t="s">
        <v>701</v>
      </c>
      <c r="S11" s="10">
        <v>45603</v>
      </c>
      <c r="T11" s="10" t="s">
        <v>702</v>
      </c>
      <c r="U11" s="10" t="s">
        <v>703</v>
      </c>
      <c r="V11" s="10" t="s">
        <v>707</v>
      </c>
      <c r="W11" s="10"/>
      <c r="X11" s="10">
        <v>-287861</v>
      </c>
      <c r="Y11" s="10" t="s">
        <v>399</v>
      </c>
      <c r="Z11" s="10" t="s">
        <v>400</v>
      </c>
      <c r="AA11" s="10" t="s">
        <v>407</v>
      </c>
      <c r="AB11" s="10" t="s">
        <v>402</v>
      </c>
      <c r="AC11" s="10" t="s">
        <v>704</v>
      </c>
      <c r="AD11" s="10" t="s">
        <v>535</v>
      </c>
      <c r="AE11" s="10">
        <v>-287861</v>
      </c>
      <c r="AF11" s="10"/>
      <c r="AG11" s="10"/>
      <c r="AH11" s="10" t="s">
        <v>391</v>
      </c>
      <c r="AI11" s="10" t="s">
        <v>392</v>
      </c>
      <c r="AJ11" s="10"/>
      <c r="AK11" s="10" t="s">
        <v>624</v>
      </c>
      <c r="AL11" s="10"/>
      <c r="AM11" s="10"/>
      <c r="AN11" s="10"/>
      <c r="AO11" s="10" t="s">
        <v>708</v>
      </c>
      <c r="AP11" s="10" t="s">
        <v>606</v>
      </c>
      <c r="AQ11" s="10" t="s">
        <v>625</v>
      </c>
      <c r="AR11" s="10" t="s">
        <v>421</v>
      </c>
      <c r="AS11" s="10" t="s">
        <v>709</v>
      </c>
      <c r="AT11" s="10" t="s">
        <v>393</v>
      </c>
      <c r="AU11" s="10" t="s">
        <v>396</v>
      </c>
      <c r="AV11" s="10">
        <v>45621</v>
      </c>
      <c r="AW11" s="10">
        <v>-287861</v>
      </c>
      <c r="AX11" s="10" t="s">
        <v>397</v>
      </c>
      <c r="AY11" s="10" t="s">
        <v>710</v>
      </c>
      <c r="AZ11" s="10" t="s">
        <v>420</v>
      </c>
      <c r="BA11" s="10"/>
      <c r="BB11" s="10">
        <v>45614.61215277778</v>
      </c>
      <c r="BC11" s="10">
        <v>45617.421215277776</v>
      </c>
      <c r="BD11" s="10" t="s">
        <v>711</v>
      </c>
      <c r="BE11" s="2" t="s">
        <v>585</v>
      </c>
      <c r="BF11" s="2" t="s">
        <v>712</v>
      </c>
      <c r="BG11" s="2" t="s">
        <v>1570</v>
      </c>
      <c r="BH11" s="2" t="s">
        <v>1567</v>
      </c>
      <c r="BI11" s="2" t="s">
        <v>1571</v>
      </c>
    </row>
    <row r="12" spans="1:61" ht="39.75" customHeight="1">
      <c r="A12" s="2">
        <v>418</v>
      </c>
      <c r="B12" s="2" t="s">
        <v>730</v>
      </c>
      <c r="F12" s="2" t="s">
        <v>731</v>
      </c>
      <c r="G12" s="10">
        <v>45625</v>
      </c>
      <c r="H12" s="10" t="s">
        <v>732</v>
      </c>
      <c r="I12" s="10" t="s">
        <v>732</v>
      </c>
      <c r="J12" s="10" t="s">
        <v>733</v>
      </c>
      <c r="K12" s="10" t="s">
        <v>54</v>
      </c>
      <c r="L12" s="10" t="s">
        <v>762</v>
      </c>
      <c r="M12" s="10" t="s">
        <v>385</v>
      </c>
      <c r="N12" s="10" t="s">
        <v>117</v>
      </c>
      <c r="O12" s="10"/>
      <c r="P12" s="10"/>
      <c r="R12" s="10"/>
      <c r="S12" s="10">
        <v>45623</v>
      </c>
      <c r="T12" s="10" t="s">
        <v>734</v>
      </c>
      <c r="U12" s="10" t="s">
        <v>735</v>
      </c>
      <c r="V12" s="159" t="s">
        <v>736</v>
      </c>
      <c r="W12" s="10"/>
      <c r="X12" s="10">
        <v>-287861</v>
      </c>
      <c r="Y12" s="10" t="s">
        <v>387</v>
      </c>
      <c r="Z12" s="10" t="s">
        <v>407</v>
      </c>
      <c r="AA12" s="10" t="s">
        <v>407</v>
      </c>
      <c r="AB12" s="10" t="s">
        <v>390</v>
      </c>
      <c r="AC12" s="10"/>
      <c r="AD12" s="10" t="s">
        <v>535</v>
      </c>
      <c r="AE12" s="10">
        <v>-287861</v>
      </c>
      <c r="AF12" s="10"/>
      <c r="AG12" s="10"/>
      <c r="AH12" s="10" t="s">
        <v>403</v>
      </c>
      <c r="AI12" s="10"/>
      <c r="AJ12" s="10"/>
      <c r="AK12" s="10" t="s">
        <v>763</v>
      </c>
      <c r="AL12" s="10"/>
      <c r="AM12" s="10"/>
      <c r="AN12" s="10" t="s">
        <v>404</v>
      </c>
      <c r="AO12" s="10" t="s">
        <v>764</v>
      </c>
      <c r="AP12" s="10"/>
      <c r="AQ12" s="10" t="s">
        <v>765</v>
      </c>
      <c r="AR12" s="10" t="s">
        <v>395</v>
      </c>
      <c r="AS12" s="10" t="s">
        <v>766</v>
      </c>
      <c r="AT12" s="10" t="s">
        <v>516</v>
      </c>
      <c r="AU12" s="10" t="s">
        <v>396</v>
      </c>
      <c r="AV12" s="10">
        <v>-287861</v>
      </c>
      <c r="AW12" s="10">
        <v>-287861</v>
      </c>
      <c r="AX12" s="10" t="s">
        <v>397</v>
      </c>
      <c r="AY12" s="10" t="s">
        <v>767</v>
      </c>
      <c r="AZ12" s="10" t="s">
        <v>737</v>
      </c>
      <c r="BA12" s="10"/>
      <c r="BB12" s="10">
        <v>45625.417731481481</v>
      </c>
      <c r="BC12" s="10">
        <v>45667.65766203704</v>
      </c>
      <c r="BD12" s="10" t="s">
        <v>738</v>
      </c>
      <c r="BE12" s="2" t="s">
        <v>586</v>
      </c>
      <c r="BF12" s="2" t="s">
        <v>385</v>
      </c>
      <c r="BG12" s="2" t="s">
        <v>1577</v>
      </c>
      <c r="BH12" s="2" t="s">
        <v>1567</v>
      </c>
      <c r="BI12" s="2" t="s">
        <v>1576</v>
      </c>
    </row>
    <row r="13" spans="1:61" ht="39.75" customHeight="1">
      <c r="A13" s="2">
        <v>421</v>
      </c>
      <c r="B13" s="2" t="s">
        <v>746</v>
      </c>
      <c r="C13" s="2" t="s">
        <v>665</v>
      </c>
      <c r="E13" s="2" t="s">
        <v>383</v>
      </c>
      <c r="F13" s="2" t="s">
        <v>384</v>
      </c>
      <c r="G13" s="10">
        <v>45635</v>
      </c>
      <c r="H13" s="10"/>
      <c r="I13" s="10" t="s">
        <v>666</v>
      </c>
      <c r="J13" s="10" t="s">
        <v>667</v>
      </c>
      <c r="K13" s="10" t="s">
        <v>54</v>
      </c>
      <c r="L13" s="10" t="s">
        <v>769</v>
      </c>
      <c r="M13" s="10" t="s">
        <v>385</v>
      </c>
      <c r="N13" s="10" t="s">
        <v>139</v>
      </c>
      <c r="O13" s="10"/>
      <c r="P13" s="10" t="s">
        <v>668</v>
      </c>
      <c r="Q13" s="10" t="s">
        <v>669</v>
      </c>
      <c r="R13" s="10" t="s">
        <v>422</v>
      </c>
      <c r="S13" s="10">
        <v>45310</v>
      </c>
      <c r="T13" s="10" t="s">
        <v>747</v>
      </c>
      <c r="U13" s="10" t="s">
        <v>748</v>
      </c>
      <c r="V13" s="10"/>
      <c r="W13" s="10"/>
      <c r="X13" s="10">
        <v>-287861</v>
      </c>
      <c r="Y13" s="10"/>
      <c r="Z13" s="10" t="s">
        <v>388</v>
      </c>
      <c r="AA13" s="10" t="s">
        <v>389</v>
      </c>
      <c r="AB13" s="10" t="s">
        <v>402</v>
      </c>
      <c r="AC13" s="10"/>
      <c r="AD13" s="10" t="s">
        <v>535</v>
      </c>
      <c r="AE13" s="10">
        <v>-287861</v>
      </c>
      <c r="AF13" s="10"/>
      <c r="AG13" s="10"/>
      <c r="AH13" s="10" t="s">
        <v>403</v>
      </c>
      <c r="AI13" s="10" t="s">
        <v>392</v>
      </c>
      <c r="AJ13" s="10"/>
      <c r="AK13" s="10" t="s">
        <v>770</v>
      </c>
      <c r="AL13" s="10"/>
      <c r="AM13" s="10"/>
      <c r="AN13" s="10"/>
      <c r="AO13" s="10" t="s">
        <v>771</v>
      </c>
      <c r="AP13" s="10" t="s">
        <v>604</v>
      </c>
      <c r="AQ13" s="10"/>
      <c r="AR13" s="10" t="s">
        <v>395</v>
      </c>
      <c r="AS13" s="10" t="s">
        <v>772</v>
      </c>
      <c r="AT13" s="10" t="s">
        <v>393</v>
      </c>
      <c r="AU13" s="10" t="s">
        <v>396</v>
      </c>
      <c r="AV13" s="10">
        <v>-287861</v>
      </c>
      <c r="AW13" s="10">
        <v>-287861</v>
      </c>
      <c r="AX13" s="10" t="s">
        <v>397</v>
      </c>
      <c r="AY13" s="10" t="s">
        <v>773</v>
      </c>
      <c r="AZ13" s="10" t="s">
        <v>515</v>
      </c>
      <c r="BA13" s="10"/>
      <c r="BB13" s="10">
        <v>45635.546979166669</v>
      </c>
      <c r="BC13" s="10">
        <v>45664.68109953704</v>
      </c>
      <c r="BD13" s="10" t="s">
        <v>774</v>
      </c>
      <c r="BE13" s="2" t="s">
        <v>586</v>
      </c>
      <c r="BG13" s="2" t="s">
        <v>1570</v>
      </c>
      <c r="BH13" s="2" t="s">
        <v>1567</v>
      </c>
      <c r="BI13" s="2" t="s">
        <v>1571</v>
      </c>
    </row>
    <row r="14" spans="1:61" ht="39.75" customHeight="1">
      <c r="A14" s="2">
        <v>426</v>
      </c>
      <c r="B14" s="2" t="s">
        <v>768</v>
      </c>
      <c r="F14" s="2" t="s">
        <v>731</v>
      </c>
      <c r="G14" s="10">
        <v>45632</v>
      </c>
      <c r="H14" s="10" t="s">
        <v>732</v>
      </c>
      <c r="I14" s="10" t="s">
        <v>732</v>
      </c>
      <c r="J14" s="10" t="s">
        <v>739</v>
      </c>
      <c r="K14" s="10" t="s">
        <v>54</v>
      </c>
      <c r="L14" s="10" t="s">
        <v>776</v>
      </c>
      <c r="M14" s="10" t="s">
        <v>385</v>
      </c>
      <c r="N14" s="10" t="s">
        <v>117</v>
      </c>
      <c r="O14" s="10" t="s">
        <v>740</v>
      </c>
      <c r="P14" s="10"/>
      <c r="R14" s="10"/>
      <c r="S14" s="10">
        <v>-287861</v>
      </c>
      <c r="T14" s="10" t="s">
        <v>741</v>
      </c>
      <c r="U14" s="10" t="s">
        <v>742</v>
      </c>
      <c r="V14" s="159" t="s">
        <v>743</v>
      </c>
      <c r="W14" s="10"/>
      <c r="X14" s="10">
        <v>-287861</v>
      </c>
      <c r="Y14" s="10" t="s">
        <v>387</v>
      </c>
      <c r="Z14" s="10"/>
      <c r="AA14" s="10"/>
      <c r="AB14" s="10" t="s">
        <v>390</v>
      </c>
      <c r="AC14" s="10"/>
      <c r="AD14" s="10" t="s">
        <v>535</v>
      </c>
      <c r="AE14" s="10">
        <v>-287861</v>
      </c>
      <c r="AF14" s="10"/>
      <c r="AG14" s="10"/>
      <c r="AH14" s="10" t="s">
        <v>403</v>
      </c>
      <c r="AI14" s="10"/>
      <c r="AJ14" s="10"/>
      <c r="AK14" s="10"/>
      <c r="AL14" s="10"/>
      <c r="AM14" s="10"/>
      <c r="AN14" s="10"/>
      <c r="AO14" s="10" t="s">
        <v>295</v>
      </c>
      <c r="AP14" s="10" t="s">
        <v>604</v>
      </c>
      <c r="AQ14" s="10" t="s">
        <v>777</v>
      </c>
      <c r="AR14" s="10" t="s">
        <v>395</v>
      </c>
      <c r="AS14" s="10" t="s">
        <v>778</v>
      </c>
      <c r="AT14" s="10" t="s">
        <v>516</v>
      </c>
      <c r="AU14" s="10" t="s">
        <v>396</v>
      </c>
      <c r="AV14" s="10">
        <v>-287861</v>
      </c>
      <c r="AW14" s="10">
        <v>-287861</v>
      </c>
      <c r="AX14" s="10" t="s">
        <v>397</v>
      </c>
      <c r="AY14" s="10" t="s">
        <v>779</v>
      </c>
      <c r="AZ14" s="10"/>
      <c r="BA14" s="10" t="s">
        <v>780</v>
      </c>
      <c r="BB14" s="10">
        <v>45639.409479166665</v>
      </c>
      <c r="BC14" s="10">
        <v>45687.711701388886</v>
      </c>
      <c r="BD14" s="10" t="s">
        <v>738</v>
      </c>
      <c r="BE14" s="2" t="s">
        <v>586</v>
      </c>
      <c r="BF14" s="2" t="s">
        <v>385</v>
      </c>
      <c r="BG14" s="2" t="s">
        <v>1577</v>
      </c>
      <c r="BH14" s="2" t="s">
        <v>1567</v>
      </c>
      <c r="BI14" s="2" t="s">
        <v>1576</v>
      </c>
    </row>
    <row r="15" spans="1:61" ht="39.75" customHeight="1">
      <c r="A15" s="2">
        <v>428</v>
      </c>
      <c r="B15" s="2" t="s">
        <v>784</v>
      </c>
      <c r="F15" s="2" t="s">
        <v>731</v>
      </c>
      <c r="G15" s="10">
        <v>45642</v>
      </c>
      <c r="H15" s="10"/>
      <c r="I15" s="10" t="s">
        <v>781</v>
      </c>
      <c r="J15" s="10"/>
      <c r="K15" s="10" t="s">
        <v>54</v>
      </c>
      <c r="L15" s="10" t="s">
        <v>785</v>
      </c>
      <c r="M15" s="10" t="s">
        <v>385</v>
      </c>
      <c r="N15" s="10" t="s">
        <v>117</v>
      </c>
      <c r="O15" s="10"/>
      <c r="P15" s="10"/>
      <c r="R15" s="10"/>
      <c r="S15" s="10">
        <v>-287861</v>
      </c>
      <c r="T15" s="10" t="s">
        <v>782</v>
      </c>
      <c r="U15" s="10" t="s">
        <v>786</v>
      </c>
      <c r="V15" s="10" t="s">
        <v>783</v>
      </c>
      <c r="W15" s="10"/>
      <c r="X15" s="10">
        <v>-287861</v>
      </c>
      <c r="Y15" s="10" t="s">
        <v>387</v>
      </c>
      <c r="Z15" s="10" t="s">
        <v>407</v>
      </c>
      <c r="AA15" s="10" t="s">
        <v>407</v>
      </c>
      <c r="AB15" s="10" t="s">
        <v>402</v>
      </c>
      <c r="AC15" s="10"/>
      <c r="AD15" s="10" t="s">
        <v>535</v>
      </c>
      <c r="AE15" s="10">
        <v>-287861</v>
      </c>
      <c r="AF15" s="10"/>
      <c r="AG15" s="10"/>
      <c r="AH15" s="10"/>
      <c r="AI15" s="10"/>
      <c r="AJ15" s="10"/>
      <c r="AK15" s="10"/>
      <c r="AL15" s="10"/>
      <c r="AM15" s="10"/>
      <c r="AN15" s="10"/>
      <c r="AO15" s="10" t="s">
        <v>787</v>
      </c>
      <c r="AP15" s="10"/>
      <c r="AQ15" s="10"/>
      <c r="AR15" s="10" t="s">
        <v>395</v>
      </c>
      <c r="AS15" s="10"/>
      <c r="AT15" s="10" t="s">
        <v>696</v>
      </c>
      <c r="AU15" s="10" t="s">
        <v>396</v>
      </c>
      <c r="AV15" s="10">
        <v>-287861</v>
      </c>
      <c r="AW15" s="10">
        <v>-287861</v>
      </c>
      <c r="AX15" s="10" t="s">
        <v>397</v>
      </c>
      <c r="AY15" s="10" t="s">
        <v>788</v>
      </c>
      <c r="AZ15" s="10" t="s">
        <v>737</v>
      </c>
      <c r="BA15" s="10" t="s">
        <v>789</v>
      </c>
      <c r="BB15" s="10">
        <v>45642.462476851855</v>
      </c>
      <c r="BC15" s="10">
        <v>45667.701979166668</v>
      </c>
      <c r="BD15" s="10" t="s">
        <v>738</v>
      </c>
      <c r="BE15" s="2" t="s">
        <v>586</v>
      </c>
      <c r="BG15" s="2" t="s">
        <v>1570</v>
      </c>
      <c r="BH15" s="2" t="s">
        <v>1567</v>
      </c>
      <c r="BI15" s="2" t="s">
        <v>1571</v>
      </c>
    </row>
    <row r="16" spans="1:61" ht="39.75" customHeight="1">
      <c r="A16" s="2">
        <v>429</v>
      </c>
      <c r="B16" s="2" t="s">
        <v>790</v>
      </c>
      <c r="F16" s="2" t="s">
        <v>384</v>
      </c>
      <c r="G16" s="10">
        <v>45642</v>
      </c>
      <c r="H16" s="10" t="s">
        <v>791</v>
      </c>
      <c r="I16" s="10" t="s">
        <v>792</v>
      </c>
      <c r="J16" s="10" t="s">
        <v>793</v>
      </c>
      <c r="K16" s="10" t="s">
        <v>54</v>
      </c>
      <c r="L16" s="10" t="s">
        <v>529</v>
      </c>
      <c r="M16" s="10" t="s">
        <v>385</v>
      </c>
      <c r="N16" s="10" t="s">
        <v>117</v>
      </c>
      <c r="O16" s="10" t="s">
        <v>794</v>
      </c>
      <c r="P16" s="10" t="s">
        <v>795</v>
      </c>
      <c r="Q16" s="10" t="s">
        <v>796</v>
      </c>
      <c r="R16" s="10" t="s">
        <v>797</v>
      </c>
      <c r="S16" s="10">
        <v>45059</v>
      </c>
      <c r="T16" s="10" t="s">
        <v>798</v>
      </c>
      <c r="U16" s="10" t="s">
        <v>799</v>
      </c>
      <c r="V16" s="10"/>
      <c r="W16" s="10"/>
      <c r="X16" s="10">
        <v>-287861</v>
      </c>
      <c r="Y16" s="10" t="s">
        <v>387</v>
      </c>
      <c r="Z16" s="10" t="s">
        <v>388</v>
      </c>
      <c r="AA16" s="10" t="s">
        <v>389</v>
      </c>
      <c r="AB16" s="10" t="s">
        <v>402</v>
      </c>
      <c r="AC16" s="10"/>
      <c r="AD16" s="10" t="s">
        <v>535</v>
      </c>
      <c r="AE16" s="10">
        <v>-287861</v>
      </c>
      <c r="AF16" s="10"/>
      <c r="AG16" s="10"/>
      <c r="AH16" s="10" t="s">
        <v>403</v>
      </c>
      <c r="AI16" s="10"/>
      <c r="AJ16" s="10"/>
      <c r="AK16" s="10" t="s">
        <v>800</v>
      </c>
      <c r="AL16" s="10"/>
      <c r="AM16" s="10"/>
      <c r="AN16" s="10"/>
      <c r="AO16" s="10" t="s">
        <v>801</v>
      </c>
      <c r="AP16" s="10"/>
      <c r="AQ16" s="10"/>
      <c r="AR16" s="10"/>
      <c r="AS16" s="10" t="s">
        <v>802</v>
      </c>
      <c r="AT16" s="10" t="s">
        <v>696</v>
      </c>
      <c r="AU16" s="10" t="s">
        <v>396</v>
      </c>
      <c r="AV16" s="10">
        <v>-287861</v>
      </c>
      <c r="AW16" s="10">
        <v>-287861</v>
      </c>
      <c r="AX16" s="10" t="s">
        <v>515</v>
      </c>
      <c r="AY16" s="10" t="s">
        <v>803</v>
      </c>
      <c r="AZ16" s="10" t="s">
        <v>515</v>
      </c>
      <c r="BA16" s="10"/>
      <c r="BB16" s="10">
        <v>45642.674791666665</v>
      </c>
      <c r="BC16" s="10">
        <v>45644.757175925923</v>
      </c>
      <c r="BD16" s="10" t="s">
        <v>804</v>
      </c>
      <c r="BE16" s="2" t="s">
        <v>586</v>
      </c>
      <c r="BG16" s="2" t="s">
        <v>1570</v>
      </c>
      <c r="BH16" s="2" t="s">
        <v>1567</v>
      </c>
      <c r="BI16" s="2" t="s">
        <v>1571</v>
      </c>
    </row>
    <row r="17" spans="1:61" ht="39.75" customHeight="1">
      <c r="A17" s="2">
        <v>430</v>
      </c>
      <c r="B17" s="2" t="s">
        <v>805</v>
      </c>
      <c r="F17" s="2" t="s">
        <v>384</v>
      </c>
      <c r="G17" s="10">
        <v>45644</v>
      </c>
      <c r="H17" s="10" t="s">
        <v>414</v>
      </c>
      <c r="I17" s="10" t="s">
        <v>406</v>
      </c>
      <c r="J17" s="10" t="s">
        <v>806</v>
      </c>
      <c r="K17" s="10" t="s">
        <v>54</v>
      </c>
      <c r="L17" s="10" t="s">
        <v>807</v>
      </c>
      <c r="M17" s="10" t="s">
        <v>385</v>
      </c>
      <c r="N17" s="10" t="s">
        <v>117</v>
      </c>
      <c r="O17" s="10" t="s">
        <v>808</v>
      </c>
      <c r="P17" s="10" t="s">
        <v>592</v>
      </c>
      <c r="Q17" s="10" t="s">
        <v>593</v>
      </c>
      <c r="R17" s="10" t="s">
        <v>809</v>
      </c>
      <c r="S17" s="10">
        <v>41478</v>
      </c>
      <c r="T17" s="10" t="s">
        <v>747</v>
      </c>
      <c r="U17" s="10" t="s">
        <v>810</v>
      </c>
      <c r="V17" s="159"/>
      <c r="W17" s="10"/>
      <c r="X17" s="10">
        <v>45605</v>
      </c>
      <c r="Y17" s="10" t="s">
        <v>387</v>
      </c>
      <c r="Z17" s="10" t="s">
        <v>388</v>
      </c>
      <c r="AA17" s="10" t="s">
        <v>389</v>
      </c>
      <c r="AB17" s="10" t="s">
        <v>402</v>
      </c>
      <c r="AC17" s="10"/>
      <c r="AD17" s="10" t="s">
        <v>535</v>
      </c>
      <c r="AE17" s="10">
        <v>-287861</v>
      </c>
      <c r="AF17" s="10"/>
      <c r="AG17" s="10"/>
      <c r="AH17" s="10" t="s">
        <v>403</v>
      </c>
      <c r="AI17" s="10"/>
      <c r="AJ17" s="10"/>
      <c r="AK17" s="10" t="s">
        <v>291</v>
      </c>
      <c r="AL17" s="10"/>
      <c r="AM17" s="10"/>
      <c r="AN17" s="10"/>
      <c r="AO17" s="10" t="s">
        <v>811</v>
      </c>
      <c r="AP17" s="10" t="s">
        <v>604</v>
      </c>
      <c r="AQ17" s="10"/>
      <c r="AR17" s="10" t="s">
        <v>395</v>
      </c>
      <c r="AS17" s="10" t="s">
        <v>812</v>
      </c>
      <c r="AT17" s="10" t="s">
        <v>516</v>
      </c>
      <c r="AU17" s="10" t="s">
        <v>396</v>
      </c>
      <c r="AV17" s="10">
        <v>-287861</v>
      </c>
      <c r="AW17" s="10">
        <v>-287861</v>
      </c>
      <c r="AX17" s="10" t="s">
        <v>397</v>
      </c>
      <c r="AY17" s="10" t="s">
        <v>813</v>
      </c>
      <c r="AZ17" s="10" t="s">
        <v>397</v>
      </c>
      <c r="BA17" s="10"/>
      <c r="BB17" s="10">
        <v>45644.497974537036</v>
      </c>
      <c r="BC17" s="10">
        <v>45715.411365740743</v>
      </c>
      <c r="BD17" s="10" t="s">
        <v>814</v>
      </c>
      <c r="BE17" s="2" t="s">
        <v>586</v>
      </c>
      <c r="BG17" s="2" t="s">
        <v>1570</v>
      </c>
      <c r="BH17" s="2" t="s">
        <v>1567</v>
      </c>
      <c r="BI17" s="2" t="s">
        <v>1571</v>
      </c>
    </row>
    <row r="18" spans="1:61" ht="39.75" customHeight="1">
      <c r="A18" s="2">
        <v>431</v>
      </c>
      <c r="B18" s="2" t="s">
        <v>815</v>
      </c>
      <c r="E18" s="2" t="s">
        <v>404</v>
      </c>
      <c r="F18" s="2" t="s">
        <v>329</v>
      </c>
      <c r="G18" s="10">
        <v>45614</v>
      </c>
      <c r="H18" s="10" t="s">
        <v>414</v>
      </c>
      <c r="I18" s="10" t="s">
        <v>406</v>
      </c>
      <c r="J18" s="10" t="s">
        <v>816</v>
      </c>
      <c r="K18" s="10"/>
      <c r="L18" s="10" t="s">
        <v>817</v>
      </c>
      <c r="M18" s="10" t="s">
        <v>385</v>
      </c>
      <c r="N18" s="10" t="s">
        <v>123</v>
      </c>
      <c r="O18" s="10" t="s">
        <v>591</v>
      </c>
      <c r="P18" s="10" t="s">
        <v>818</v>
      </c>
      <c r="Q18" s="10" t="s">
        <v>819</v>
      </c>
      <c r="R18" s="10" t="s">
        <v>820</v>
      </c>
      <c r="S18" s="10">
        <v>44740</v>
      </c>
      <c r="T18" s="10" t="s">
        <v>821</v>
      </c>
      <c r="U18" s="10" t="s">
        <v>822</v>
      </c>
      <c r="V18" s="159"/>
      <c r="W18" s="10"/>
      <c r="X18" s="10">
        <v>45643</v>
      </c>
      <c r="Y18" s="10" t="s">
        <v>387</v>
      </c>
      <c r="Z18" s="10" t="s">
        <v>407</v>
      </c>
      <c r="AA18" s="10" t="s">
        <v>389</v>
      </c>
      <c r="AB18" s="10" t="s">
        <v>390</v>
      </c>
      <c r="AC18" s="10"/>
      <c r="AD18" s="10"/>
      <c r="AE18" s="10">
        <v>-287861</v>
      </c>
      <c r="AF18" s="10"/>
      <c r="AG18" s="10"/>
      <c r="AH18" s="10"/>
      <c r="AI18" s="10"/>
      <c r="AJ18" s="10"/>
      <c r="AK18" s="10" t="s">
        <v>823</v>
      </c>
      <c r="AL18" s="10"/>
      <c r="AM18" s="10"/>
      <c r="AN18" s="10"/>
      <c r="AO18" s="10" t="s">
        <v>824</v>
      </c>
      <c r="AP18" s="10"/>
      <c r="AQ18" s="10"/>
      <c r="AR18" s="10" t="s">
        <v>395</v>
      </c>
      <c r="AS18" s="10"/>
      <c r="AT18" s="10" t="s">
        <v>394</v>
      </c>
      <c r="AU18" s="10" t="s">
        <v>394</v>
      </c>
      <c r="AV18" s="10">
        <v>45672</v>
      </c>
      <c r="AW18" s="10">
        <v>-287861</v>
      </c>
      <c r="AX18" s="10" t="s">
        <v>408</v>
      </c>
      <c r="AY18" s="10" t="s">
        <v>825</v>
      </c>
      <c r="AZ18" s="10" t="s">
        <v>409</v>
      </c>
      <c r="BA18" s="10"/>
      <c r="BB18" s="10">
        <v>45644.633877314816</v>
      </c>
      <c r="BC18" s="10">
        <v>45646.493831018517</v>
      </c>
      <c r="BD18" s="10" t="s">
        <v>826</v>
      </c>
      <c r="BE18" s="2" t="s">
        <v>586</v>
      </c>
      <c r="BG18" s="2" t="s">
        <v>1577</v>
      </c>
      <c r="BH18" s="2" t="s">
        <v>1567</v>
      </c>
      <c r="BI18" s="2" t="s">
        <v>1576</v>
      </c>
    </row>
    <row r="19" spans="1:61" ht="39.75" customHeight="1">
      <c r="A19" s="2">
        <v>440</v>
      </c>
      <c r="B19" s="2" t="s">
        <v>843</v>
      </c>
      <c r="C19" s="2" t="s">
        <v>844</v>
      </c>
      <c r="E19" s="2" t="s">
        <v>404</v>
      </c>
      <c r="F19" s="2" t="s">
        <v>405</v>
      </c>
      <c r="G19" s="10">
        <v>45652</v>
      </c>
      <c r="H19" s="10"/>
      <c r="I19" s="10" t="s">
        <v>406</v>
      </c>
      <c r="J19" s="10" t="s">
        <v>845</v>
      </c>
      <c r="K19" s="10" t="s">
        <v>846</v>
      </c>
      <c r="L19" s="10" t="s">
        <v>847</v>
      </c>
      <c r="M19" s="10" t="s">
        <v>385</v>
      </c>
      <c r="N19" s="10" t="s">
        <v>117</v>
      </c>
      <c r="O19" s="10"/>
      <c r="P19" s="10" t="s">
        <v>848</v>
      </c>
      <c r="Q19" s="10" t="s">
        <v>849</v>
      </c>
      <c r="R19" s="10" t="s">
        <v>850</v>
      </c>
      <c r="S19" s="10">
        <v>44756</v>
      </c>
      <c r="T19" s="10" t="s">
        <v>851</v>
      </c>
      <c r="U19" s="10" t="s">
        <v>852</v>
      </c>
      <c r="V19" s="10"/>
      <c r="W19" s="10"/>
      <c r="X19" s="10">
        <v>45651</v>
      </c>
      <c r="Y19" s="10" t="s">
        <v>399</v>
      </c>
      <c r="Z19" s="10" t="s">
        <v>407</v>
      </c>
      <c r="AA19" s="10" t="s">
        <v>389</v>
      </c>
      <c r="AB19" s="10" t="s">
        <v>390</v>
      </c>
      <c r="AC19" s="10"/>
      <c r="AD19" s="10"/>
      <c r="AE19" s="10">
        <v>-287861</v>
      </c>
      <c r="AF19" s="10"/>
      <c r="AG19" s="10"/>
      <c r="AH19" s="10"/>
      <c r="AI19" s="10" t="s">
        <v>392</v>
      </c>
      <c r="AJ19" s="10"/>
      <c r="AK19" s="10"/>
      <c r="AL19" s="10"/>
      <c r="AM19" s="10"/>
      <c r="AN19" s="10"/>
      <c r="AO19" s="10" t="s">
        <v>853</v>
      </c>
      <c r="AP19" s="10"/>
      <c r="AQ19" s="10"/>
      <c r="AR19" s="10" t="s">
        <v>395</v>
      </c>
      <c r="AS19" s="10" t="s">
        <v>854</v>
      </c>
      <c r="AT19" s="10" t="s">
        <v>394</v>
      </c>
      <c r="AU19" s="10" t="s">
        <v>394</v>
      </c>
      <c r="AV19" s="10">
        <v>45679</v>
      </c>
      <c r="AW19" s="10">
        <v>-287861</v>
      </c>
      <c r="AX19" s="10" t="s">
        <v>408</v>
      </c>
      <c r="AY19" s="10" t="s">
        <v>855</v>
      </c>
      <c r="AZ19" s="10" t="s">
        <v>409</v>
      </c>
      <c r="BA19" s="10"/>
      <c r="BB19" s="10">
        <v>45653.447534722225</v>
      </c>
      <c r="BC19" s="10">
        <v>45664.555231481485</v>
      </c>
      <c r="BD19" s="10" t="s">
        <v>856</v>
      </c>
      <c r="BE19" s="2" t="s">
        <v>586</v>
      </c>
      <c r="BG19" s="2" t="s">
        <v>1577</v>
      </c>
      <c r="BH19" s="2" t="s">
        <v>1567</v>
      </c>
      <c r="BI19" s="2" t="s">
        <v>1576</v>
      </c>
    </row>
    <row r="20" spans="1:61" ht="39.75" customHeight="1">
      <c r="A20" s="2">
        <v>444</v>
      </c>
      <c r="B20" s="2" t="s">
        <v>857</v>
      </c>
      <c r="F20" s="2" t="s">
        <v>384</v>
      </c>
      <c r="G20" s="10">
        <v>45678</v>
      </c>
      <c r="H20" s="10" t="s">
        <v>791</v>
      </c>
      <c r="I20" s="10" t="s">
        <v>792</v>
      </c>
      <c r="J20" s="10"/>
      <c r="K20" s="10" t="s">
        <v>54</v>
      </c>
      <c r="L20" s="10" t="s">
        <v>529</v>
      </c>
      <c r="M20" s="10" t="s">
        <v>385</v>
      </c>
      <c r="N20" s="10" t="s">
        <v>117</v>
      </c>
      <c r="O20" s="10" t="s">
        <v>591</v>
      </c>
      <c r="P20" s="10" t="s">
        <v>858</v>
      </c>
      <c r="Q20" s="10" t="s">
        <v>859</v>
      </c>
      <c r="R20" s="10" t="s">
        <v>860</v>
      </c>
      <c r="S20" s="10">
        <v>-287861</v>
      </c>
      <c r="T20" s="10" t="s">
        <v>861</v>
      </c>
      <c r="U20" s="10" t="s">
        <v>862</v>
      </c>
      <c r="V20" s="10"/>
      <c r="W20" s="10"/>
      <c r="X20" s="10">
        <v>45677</v>
      </c>
      <c r="Y20" s="10" t="s">
        <v>387</v>
      </c>
      <c r="Z20" s="10" t="s">
        <v>388</v>
      </c>
      <c r="AA20" s="10" t="s">
        <v>389</v>
      </c>
      <c r="AB20" s="10" t="s">
        <v>402</v>
      </c>
      <c r="AC20" s="10"/>
      <c r="AD20" s="10"/>
      <c r="AE20" s="10">
        <v>-287861</v>
      </c>
      <c r="AF20" s="10"/>
      <c r="AG20" s="10"/>
      <c r="AH20" s="10"/>
      <c r="AI20" s="10"/>
      <c r="AJ20" s="10"/>
      <c r="AK20" s="10"/>
      <c r="AL20" s="10"/>
      <c r="AM20" s="10"/>
      <c r="AN20" s="10"/>
      <c r="AO20" s="10"/>
      <c r="AP20" s="10"/>
      <c r="AQ20" s="10"/>
      <c r="AR20" s="10"/>
      <c r="AS20" s="10"/>
      <c r="AT20" s="10"/>
      <c r="AU20" s="10"/>
      <c r="AV20" s="10">
        <v>-287861</v>
      </c>
      <c r="AW20" s="10">
        <v>-287861</v>
      </c>
      <c r="AX20" s="10" t="s">
        <v>515</v>
      </c>
      <c r="AY20" s="10" t="s">
        <v>863</v>
      </c>
      <c r="AZ20" s="10" t="s">
        <v>515</v>
      </c>
      <c r="BA20" s="10"/>
      <c r="BB20" s="10">
        <v>45678.650081018517</v>
      </c>
      <c r="BC20" s="10">
        <v>45678.650833333333</v>
      </c>
      <c r="BD20" s="10" t="s">
        <v>864</v>
      </c>
      <c r="BE20" s="2" t="s">
        <v>585</v>
      </c>
      <c r="BG20" s="2" t="s">
        <v>1570</v>
      </c>
      <c r="BH20" s="2" t="s">
        <v>1567</v>
      </c>
      <c r="BI20" s="2" t="s">
        <v>1571</v>
      </c>
    </row>
    <row r="21" spans="1:61" ht="39.75" customHeight="1">
      <c r="A21" s="2">
        <v>446</v>
      </c>
      <c r="B21" s="2" t="s">
        <v>865</v>
      </c>
      <c r="E21" s="2" t="s">
        <v>379</v>
      </c>
      <c r="F21" s="2" t="s">
        <v>325</v>
      </c>
      <c r="G21" s="10">
        <v>45679</v>
      </c>
      <c r="H21" s="10"/>
      <c r="I21" s="10" t="s">
        <v>866</v>
      </c>
      <c r="J21" s="10" t="s">
        <v>866</v>
      </c>
      <c r="K21" s="10" t="s">
        <v>54</v>
      </c>
      <c r="L21" s="10" t="s">
        <v>867</v>
      </c>
      <c r="M21" s="10" t="s">
        <v>398</v>
      </c>
      <c r="N21" s="10" t="s">
        <v>151</v>
      </c>
      <c r="O21" s="10"/>
      <c r="P21" s="10" t="s">
        <v>868</v>
      </c>
      <c r="Q21" s="10" t="s">
        <v>869</v>
      </c>
      <c r="R21" s="10" t="s">
        <v>870</v>
      </c>
      <c r="S21" s="10">
        <v>45612</v>
      </c>
      <c r="T21" s="10" t="s">
        <v>871</v>
      </c>
      <c r="U21" s="10" t="s">
        <v>872</v>
      </c>
      <c r="V21" s="10" t="s">
        <v>873</v>
      </c>
      <c r="W21" s="10"/>
      <c r="X21" s="10">
        <v>45677</v>
      </c>
      <c r="Y21" s="10" t="s">
        <v>387</v>
      </c>
      <c r="Z21" s="10" t="s">
        <v>407</v>
      </c>
      <c r="AA21" s="10" t="s">
        <v>407</v>
      </c>
      <c r="AB21" s="10" t="s">
        <v>402</v>
      </c>
      <c r="AC21" s="10"/>
      <c r="AD21" s="10" t="s">
        <v>535</v>
      </c>
      <c r="AE21" s="10">
        <v>-287861</v>
      </c>
      <c r="AF21" s="10"/>
      <c r="AG21" s="10"/>
      <c r="AH21" s="10" t="s">
        <v>391</v>
      </c>
      <c r="AI21" s="10"/>
      <c r="AJ21" s="10"/>
      <c r="AK21" s="10" t="s">
        <v>874</v>
      </c>
      <c r="AL21" s="10"/>
      <c r="AM21" s="10"/>
      <c r="AN21" s="10"/>
      <c r="AO21" s="10" t="s">
        <v>875</v>
      </c>
      <c r="AP21" s="10" t="s">
        <v>604</v>
      </c>
      <c r="AQ21" s="10"/>
      <c r="AR21" s="10" t="s">
        <v>395</v>
      </c>
      <c r="AS21" s="10" t="s">
        <v>876</v>
      </c>
      <c r="AT21" s="10" t="s">
        <v>516</v>
      </c>
      <c r="AU21" s="10" t="s">
        <v>396</v>
      </c>
      <c r="AV21" s="10">
        <v>45686</v>
      </c>
      <c r="AW21" s="10">
        <v>-287861</v>
      </c>
      <c r="AX21" s="10" t="s">
        <v>397</v>
      </c>
      <c r="AY21" s="10" t="s">
        <v>877</v>
      </c>
      <c r="AZ21" s="10" t="s">
        <v>417</v>
      </c>
      <c r="BA21" s="10"/>
      <c r="BB21" s="10">
        <v>45679.644502314812</v>
      </c>
      <c r="BC21" s="10">
        <v>45688.694548611114</v>
      </c>
      <c r="BD21" s="10" t="s">
        <v>878</v>
      </c>
      <c r="BE21" s="2" t="s">
        <v>586</v>
      </c>
      <c r="BG21" s="2" t="s">
        <v>1570</v>
      </c>
      <c r="BH21" s="2" t="s">
        <v>1567</v>
      </c>
      <c r="BI21" s="2" t="s">
        <v>1571</v>
      </c>
    </row>
    <row r="22" spans="1:61" ht="39.75" customHeight="1">
      <c r="A22" s="2">
        <v>447</v>
      </c>
      <c r="B22" s="2" t="s">
        <v>879</v>
      </c>
      <c r="C22" s="2" t="s">
        <v>880</v>
      </c>
      <c r="E22" s="2" t="s">
        <v>383</v>
      </c>
      <c r="F22" s="2" t="s">
        <v>384</v>
      </c>
      <c r="G22" s="10">
        <v>45680</v>
      </c>
      <c r="H22" s="10"/>
      <c r="I22" s="10" t="s">
        <v>666</v>
      </c>
      <c r="J22" s="10" t="s">
        <v>667</v>
      </c>
      <c r="K22" s="10" t="s">
        <v>54</v>
      </c>
      <c r="L22" s="10" t="s">
        <v>881</v>
      </c>
      <c r="M22" s="10" t="s">
        <v>385</v>
      </c>
      <c r="O22" s="10"/>
      <c r="P22" s="10" t="s">
        <v>882</v>
      </c>
      <c r="Q22" s="10" t="s">
        <v>883</v>
      </c>
      <c r="R22" s="10" t="s">
        <v>422</v>
      </c>
      <c r="S22" s="10">
        <v>45601</v>
      </c>
      <c r="T22" s="10" t="s">
        <v>884</v>
      </c>
      <c r="U22" s="10" t="s">
        <v>885</v>
      </c>
      <c r="V22" s="10"/>
      <c r="W22" s="10"/>
      <c r="X22" s="10">
        <v>45597</v>
      </c>
      <c r="Y22" s="10" t="s">
        <v>399</v>
      </c>
      <c r="Z22" s="10" t="s">
        <v>400</v>
      </c>
      <c r="AA22" s="10" t="s">
        <v>401</v>
      </c>
      <c r="AB22" s="10" t="s">
        <v>402</v>
      </c>
      <c r="AC22" s="10"/>
      <c r="AD22" s="10" t="s">
        <v>607</v>
      </c>
      <c r="AE22" s="10">
        <v>-287861</v>
      </c>
      <c r="AF22" s="10"/>
      <c r="AG22" s="10"/>
      <c r="AH22" s="10" t="s">
        <v>391</v>
      </c>
      <c r="AI22" s="10"/>
      <c r="AJ22" s="10"/>
      <c r="AK22" s="10" t="s">
        <v>886</v>
      </c>
      <c r="AL22" s="10"/>
      <c r="AM22" s="10"/>
      <c r="AN22" s="10"/>
      <c r="AO22" s="10" t="s">
        <v>887</v>
      </c>
      <c r="AP22" s="10" t="s">
        <v>604</v>
      </c>
      <c r="AQ22" s="10"/>
      <c r="AR22" s="10" t="s">
        <v>395</v>
      </c>
      <c r="AS22" s="10" t="s">
        <v>888</v>
      </c>
      <c r="AT22" s="10" t="s">
        <v>696</v>
      </c>
      <c r="AU22" s="10" t="s">
        <v>396</v>
      </c>
      <c r="AV22" s="10">
        <v>-287861</v>
      </c>
      <c r="AW22" s="10">
        <v>-287861</v>
      </c>
      <c r="AX22" s="10" t="s">
        <v>397</v>
      </c>
      <c r="AY22" s="10" t="s">
        <v>889</v>
      </c>
      <c r="AZ22" s="10" t="s">
        <v>515</v>
      </c>
      <c r="BA22" s="10"/>
      <c r="BB22" s="10">
        <v>45680.378310185188</v>
      </c>
      <c r="BC22" s="10">
        <v>45721.589918981481</v>
      </c>
      <c r="BD22" s="10" t="s">
        <v>890</v>
      </c>
      <c r="BE22" s="2" t="s">
        <v>586</v>
      </c>
      <c r="BG22" s="2" t="s">
        <v>1570</v>
      </c>
      <c r="BH22" s="2" t="s">
        <v>1567</v>
      </c>
      <c r="BI22" s="2" t="s">
        <v>1571</v>
      </c>
    </row>
    <row r="23" spans="1:61" ht="39.75" customHeight="1">
      <c r="A23" s="2">
        <v>449</v>
      </c>
      <c r="B23" s="2" t="s">
        <v>891</v>
      </c>
      <c r="C23" s="2" t="s">
        <v>892</v>
      </c>
      <c r="E23" s="2" t="s">
        <v>404</v>
      </c>
      <c r="F23" s="2" t="s">
        <v>329</v>
      </c>
      <c r="G23" s="10">
        <v>45680</v>
      </c>
      <c r="H23" s="10" t="s">
        <v>893</v>
      </c>
      <c r="I23" s="10" t="s">
        <v>894</v>
      </c>
      <c r="J23" s="10" t="s">
        <v>894</v>
      </c>
      <c r="K23" s="10" t="s">
        <v>54</v>
      </c>
      <c r="L23" s="10" t="s">
        <v>895</v>
      </c>
      <c r="M23" s="10" t="s">
        <v>896</v>
      </c>
      <c r="N23" s="10" t="s">
        <v>159</v>
      </c>
      <c r="O23" s="10" t="s">
        <v>897</v>
      </c>
      <c r="P23" s="10" t="s">
        <v>898</v>
      </c>
      <c r="Q23" s="10" t="s">
        <v>899</v>
      </c>
      <c r="R23" s="10" t="s">
        <v>900</v>
      </c>
      <c r="S23" s="10">
        <v>45639</v>
      </c>
      <c r="T23" s="10" t="s">
        <v>901</v>
      </c>
      <c r="U23" s="10" t="s">
        <v>902</v>
      </c>
      <c r="V23" s="10"/>
      <c r="W23" s="10"/>
      <c r="X23" s="10">
        <v>45674</v>
      </c>
      <c r="Y23" s="10" t="s">
        <v>387</v>
      </c>
      <c r="Z23" s="10" t="s">
        <v>407</v>
      </c>
      <c r="AA23" s="10" t="s">
        <v>389</v>
      </c>
      <c r="AB23" s="10" t="s">
        <v>402</v>
      </c>
      <c r="AC23" s="10"/>
      <c r="AD23" s="10" t="s">
        <v>535</v>
      </c>
      <c r="AE23" s="10">
        <v>-287861</v>
      </c>
      <c r="AF23" s="10"/>
      <c r="AG23" s="10"/>
      <c r="AH23" s="10" t="s">
        <v>403</v>
      </c>
      <c r="AI23" s="10" t="s">
        <v>599</v>
      </c>
      <c r="AJ23" s="10"/>
      <c r="AK23" s="10" t="s">
        <v>903</v>
      </c>
      <c r="AL23" s="10"/>
      <c r="AM23" s="10"/>
      <c r="AN23" s="10"/>
      <c r="AO23" s="10" t="s">
        <v>904</v>
      </c>
      <c r="AP23" s="10" t="s">
        <v>604</v>
      </c>
      <c r="AQ23" s="10"/>
      <c r="AR23" s="10" t="s">
        <v>600</v>
      </c>
      <c r="AS23" s="10" t="s">
        <v>905</v>
      </c>
      <c r="AT23" s="10" t="s">
        <v>546</v>
      </c>
      <c r="AU23" s="10" t="s">
        <v>396</v>
      </c>
      <c r="AV23" s="10">
        <v>45695</v>
      </c>
      <c r="AW23" s="10">
        <v>-287861</v>
      </c>
      <c r="AX23" s="10" t="s">
        <v>397</v>
      </c>
      <c r="AY23" s="10" t="s">
        <v>906</v>
      </c>
      <c r="AZ23" s="10" t="s">
        <v>409</v>
      </c>
      <c r="BA23" s="10"/>
      <c r="BB23" s="10">
        <v>45681.612256944441</v>
      </c>
      <c r="BC23" s="10">
        <v>45687.64435185185</v>
      </c>
      <c r="BD23" s="10" t="s">
        <v>907</v>
      </c>
      <c r="BE23" s="2" t="s">
        <v>586</v>
      </c>
      <c r="BG23" s="2" t="s">
        <v>1570</v>
      </c>
      <c r="BH23" s="2" t="s">
        <v>1567</v>
      </c>
      <c r="BI23" s="2" t="s">
        <v>1571</v>
      </c>
    </row>
    <row r="24" spans="1:61" ht="39.75" customHeight="1">
      <c r="A24" s="2">
        <v>450</v>
      </c>
      <c r="B24" s="2" t="s">
        <v>908</v>
      </c>
      <c r="E24" s="2" t="s">
        <v>404</v>
      </c>
      <c r="F24" s="2" t="s">
        <v>329</v>
      </c>
      <c r="G24" s="10">
        <v>45680</v>
      </c>
      <c r="H24" s="10" t="s">
        <v>581</v>
      </c>
      <c r="I24" s="10" t="s">
        <v>411</v>
      </c>
      <c r="J24" s="10"/>
      <c r="K24" s="10" t="s">
        <v>54</v>
      </c>
      <c r="L24" s="10" t="s">
        <v>529</v>
      </c>
      <c r="M24" s="10" t="s">
        <v>398</v>
      </c>
      <c r="N24" s="10" t="s">
        <v>145</v>
      </c>
      <c r="O24" s="10" t="s">
        <v>386</v>
      </c>
      <c r="P24" s="10" t="s">
        <v>412</v>
      </c>
      <c r="Q24" s="10" t="s">
        <v>413</v>
      </c>
      <c r="R24" s="10" t="s">
        <v>909</v>
      </c>
      <c r="S24" s="10">
        <v>-287861</v>
      </c>
      <c r="T24" s="10" t="s">
        <v>910</v>
      </c>
      <c r="U24" s="10" t="s">
        <v>911</v>
      </c>
      <c r="V24" s="10" t="s">
        <v>912</v>
      </c>
      <c r="W24" s="10" t="s">
        <v>416</v>
      </c>
      <c r="X24" s="10">
        <v>45575</v>
      </c>
      <c r="Y24" s="10" t="s">
        <v>399</v>
      </c>
      <c r="Z24" s="10" t="s">
        <v>400</v>
      </c>
      <c r="AA24" s="10" t="s">
        <v>401</v>
      </c>
      <c r="AB24" s="10" t="s">
        <v>402</v>
      </c>
      <c r="AC24" s="10"/>
      <c r="AD24" s="10" t="s">
        <v>607</v>
      </c>
      <c r="AE24" s="10">
        <v>-287861</v>
      </c>
      <c r="AF24" s="10"/>
      <c r="AG24" s="10"/>
      <c r="AH24" s="10" t="s">
        <v>391</v>
      </c>
      <c r="AI24" s="10" t="s">
        <v>392</v>
      </c>
      <c r="AJ24" s="10"/>
      <c r="AK24" s="10" t="s">
        <v>605</v>
      </c>
      <c r="AL24" s="10"/>
      <c r="AM24" s="10"/>
      <c r="AN24" s="10"/>
      <c r="AO24" s="10" t="s">
        <v>913</v>
      </c>
      <c r="AP24" s="10" t="s">
        <v>606</v>
      </c>
      <c r="AQ24" s="10" t="s">
        <v>528</v>
      </c>
      <c r="AR24" s="10" t="s">
        <v>410</v>
      </c>
      <c r="AS24" s="10" t="s">
        <v>914</v>
      </c>
      <c r="AT24" s="10" t="s">
        <v>393</v>
      </c>
      <c r="AU24" s="10" t="s">
        <v>396</v>
      </c>
      <c r="AV24" s="10">
        <v>45694</v>
      </c>
      <c r="AW24" s="10">
        <v>-287861</v>
      </c>
      <c r="AX24" s="10" t="s">
        <v>397</v>
      </c>
      <c r="AY24" s="10" t="s">
        <v>915</v>
      </c>
      <c r="AZ24" s="10" t="s">
        <v>409</v>
      </c>
      <c r="BA24" s="10"/>
      <c r="BB24" s="10">
        <v>45681.676539351851</v>
      </c>
      <c r="BC24" s="10">
        <v>45798.477129629631</v>
      </c>
      <c r="BD24" s="10" t="s">
        <v>916</v>
      </c>
      <c r="BE24" s="2" t="s">
        <v>585</v>
      </c>
      <c r="BF24" s="2" t="s">
        <v>1194</v>
      </c>
      <c r="BG24" s="2" t="s">
        <v>1570</v>
      </c>
      <c r="BH24" s="2" t="s">
        <v>1567</v>
      </c>
      <c r="BI24" s="2" t="s">
        <v>1571</v>
      </c>
    </row>
    <row r="25" spans="1:61" ht="39.75" customHeight="1">
      <c r="A25" s="2">
        <v>452</v>
      </c>
      <c r="B25" s="2" t="s">
        <v>917</v>
      </c>
      <c r="F25" s="2" t="s">
        <v>384</v>
      </c>
      <c r="G25" s="10">
        <v>45678</v>
      </c>
      <c r="H25" s="10" t="s">
        <v>791</v>
      </c>
      <c r="I25" s="10" t="s">
        <v>792</v>
      </c>
      <c r="J25" s="10"/>
      <c r="K25" s="10" t="s">
        <v>54</v>
      </c>
      <c r="L25" s="10" t="s">
        <v>918</v>
      </c>
      <c r="M25" s="10" t="s">
        <v>385</v>
      </c>
      <c r="N25" s="10" t="s">
        <v>117</v>
      </c>
      <c r="O25" s="10" t="s">
        <v>591</v>
      </c>
      <c r="P25" s="10" t="s">
        <v>858</v>
      </c>
      <c r="Q25" s="10" t="s">
        <v>859</v>
      </c>
      <c r="R25" s="10" t="s">
        <v>860</v>
      </c>
      <c r="S25" s="10">
        <v>-287861</v>
      </c>
      <c r="T25" s="10" t="s">
        <v>861</v>
      </c>
      <c r="U25" s="10" t="s">
        <v>862</v>
      </c>
      <c r="V25" s="10"/>
      <c r="W25" s="10"/>
      <c r="X25" s="10">
        <v>45677</v>
      </c>
      <c r="Y25" s="10" t="s">
        <v>387</v>
      </c>
      <c r="Z25" s="10" t="s">
        <v>388</v>
      </c>
      <c r="AA25" s="10" t="s">
        <v>389</v>
      </c>
      <c r="AB25" s="10" t="s">
        <v>402</v>
      </c>
      <c r="AC25" s="10"/>
      <c r="AD25" s="10" t="s">
        <v>535</v>
      </c>
      <c r="AE25" s="10">
        <v>-287861</v>
      </c>
      <c r="AF25" s="10"/>
      <c r="AG25" s="10"/>
      <c r="AH25" s="10" t="s">
        <v>403</v>
      </c>
      <c r="AI25" s="10"/>
      <c r="AJ25" s="10"/>
      <c r="AK25" s="10" t="s">
        <v>919</v>
      </c>
      <c r="AL25" s="10"/>
      <c r="AM25" s="10"/>
      <c r="AN25" s="10"/>
      <c r="AO25" s="10" t="s">
        <v>920</v>
      </c>
      <c r="AP25" s="10" t="s">
        <v>604</v>
      </c>
      <c r="AQ25" s="10"/>
      <c r="AR25" s="10" t="s">
        <v>395</v>
      </c>
      <c r="AS25" s="10" t="s">
        <v>921</v>
      </c>
      <c r="AT25" s="10" t="s">
        <v>516</v>
      </c>
      <c r="AU25" s="10" t="s">
        <v>396</v>
      </c>
      <c r="AV25" s="10">
        <v>-287861</v>
      </c>
      <c r="AW25" s="10">
        <v>-287861</v>
      </c>
      <c r="AX25" s="10" t="s">
        <v>397</v>
      </c>
      <c r="AY25" s="10" t="s">
        <v>922</v>
      </c>
      <c r="AZ25" s="10"/>
      <c r="BA25" s="10" t="s">
        <v>923</v>
      </c>
      <c r="BB25" s="10">
        <v>45684.398657407408</v>
      </c>
      <c r="BC25" s="10">
        <v>45715.408993055556</v>
      </c>
      <c r="BD25" s="10" t="s">
        <v>924</v>
      </c>
      <c r="BE25" s="2" t="s">
        <v>586</v>
      </c>
      <c r="BG25" s="2" t="s">
        <v>1570</v>
      </c>
      <c r="BH25" s="2" t="s">
        <v>1567</v>
      </c>
      <c r="BI25" s="2" t="s">
        <v>1571</v>
      </c>
    </row>
    <row r="26" spans="1:61" ht="39.75" customHeight="1">
      <c r="A26" s="2">
        <v>459</v>
      </c>
      <c r="B26" s="2" t="s">
        <v>931</v>
      </c>
      <c r="C26" s="2" t="s">
        <v>932</v>
      </c>
      <c r="E26" s="2" t="s">
        <v>383</v>
      </c>
      <c r="F26" s="2" t="s">
        <v>384</v>
      </c>
      <c r="G26" s="10">
        <v>45692</v>
      </c>
      <c r="H26" s="10"/>
      <c r="I26" s="10" t="s">
        <v>933</v>
      </c>
      <c r="J26" s="10" t="s">
        <v>934</v>
      </c>
      <c r="K26" s="10" t="s">
        <v>54</v>
      </c>
      <c r="L26" s="10" t="s">
        <v>935</v>
      </c>
      <c r="M26" s="10" t="s">
        <v>385</v>
      </c>
      <c r="N26" s="10" t="s">
        <v>117</v>
      </c>
      <c r="O26" s="10"/>
      <c r="P26" s="10" t="s">
        <v>936</v>
      </c>
      <c r="Q26" s="10" t="s">
        <v>937</v>
      </c>
      <c r="R26" s="10" t="s">
        <v>938</v>
      </c>
      <c r="S26" s="10">
        <v>45524</v>
      </c>
      <c r="T26" s="10" t="s">
        <v>939</v>
      </c>
      <c r="U26" s="10" t="s">
        <v>940</v>
      </c>
      <c r="V26" s="10"/>
      <c r="W26" s="10"/>
      <c r="X26" s="10">
        <v>45685</v>
      </c>
      <c r="Y26" s="10" t="s">
        <v>387</v>
      </c>
      <c r="Z26" s="10" t="s">
        <v>388</v>
      </c>
      <c r="AA26" s="10" t="s">
        <v>389</v>
      </c>
      <c r="AB26" s="10" t="s">
        <v>402</v>
      </c>
      <c r="AC26" s="10"/>
      <c r="AD26" s="10" t="s">
        <v>535</v>
      </c>
      <c r="AE26" s="10">
        <v>-287861</v>
      </c>
      <c r="AF26" s="10"/>
      <c r="AG26" s="10"/>
      <c r="AH26" s="10" t="s">
        <v>403</v>
      </c>
      <c r="AI26" s="10"/>
      <c r="AJ26" s="10"/>
      <c r="AK26" s="10" t="s">
        <v>941</v>
      </c>
      <c r="AL26" s="10"/>
      <c r="AM26" s="10"/>
      <c r="AN26" s="10"/>
      <c r="AO26" s="10" t="s">
        <v>942</v>
      </c>
      <c r="AP26" s="10" t="s">
        <v>604</v>
      </c>
      <c r="AQ26" s="10"/>
      <c r="AR26" s="10" t="s">
        <v>395</v>
      </c>
      <c r="AS26" s="10" t="s">
        <v>943</v>
      </c>
      <c r="AT26" s="10" t="s">
        <v>696</v>
      </c>
      <c r="AU26" s="10" t="s">
        <v>396</v>
      </c>
      <c r="AV26" s="10">
        <v>45692</v>
      </c>
      <c r="AW26" s="10">
        <v>-287861</v>
      </c>
      <c r="AX26" s="10" t="s">
        <v>397</v>
      </c>
      <c r="AY26" s="10" t="s">
        <v>944</v>
      </c>
      <c r="AZ26" s="10" t="s">
        <v>515</v>
      </c>
      <c r="BA26" s="10"/>
      <c r="BB26" s="10">
        <v>45692.478506944448</v>
      </c>
      <c r="BC26" s="10">
        <v>45715.433263888888</v>
      </c>
      <c r="BD26" s="10" t="s">
        <v>945</v>
      </c>
      <c r="BE26" s="2" t="s">
        <v>586</v>
      </c>
      <c r="BG26" s="2" t="s">
        <v>1570</v>
      </c>
      <c r="BH26" s="2" t="s">
        <v>1567</v>
      </c>
      <c r="BI26" s="2" t="s">
        <v>1571</v>
      </c>
    </row>
    <row r="27" spans="1:61" ht="39.75" customHeight="1">
      <c r="A27" s="2">
        <v>460</v>
      </c>
      <c r="B27" s="2" t="s">
        <v>946</v>
      </c>
      <c r="F27" s="2" t="s">
        <v>384</v>
      </c>
      <c r="G27" s="10">
        <v>45693</v>
      </c>
      <c r="H27" s="10" t="s">
        <v>713</v>
      </c>
      <c r="I27" s="10" t="s">
        <v>714</v>
      </c>
      <c r="J27" s="10" t="s">
        <v>947</v>
      </c>
      <c r="K27" s="10" t="s">
        <v>54</v>
      </c>
      <c r="L27" s="10" t="s">
        <v>948</v>
      </c>
      <c r="M27" s="10" t="s">
        <v>385</v>
      </c>
      <c r="N27" s="10" t="s">
        <v>117</v>
      </c>
      <c r="O27" s="10" t="s">
        <v>591</v>
      </c>
      <c r="P27" s="10" t="s">
        <v>858</v>
      </c>
      <c r="Q27" s="10" t="s">
        <v>859</v>
      </c>
      <c r="R27" s="10" t="s">
        <v>949</v>
      </c>
      <c r="S27" s="10">
        <v>-287861</v>
      </c>
      <c r="T27" s="10" t="s">
        <v>950</v>
      </c>
      <c r="U27" s="10" t="s">
        <v>951</v>
      </c>
      <c r="V27" s="10" t="s">
        <v>952</v>
      </c>
      <c r="W27" s="10"/>
      <c r="X27" s="10">
        <v>45691</v>
      </c>
      <c r="Y27" s="10" t="s">
        <v>387</v>
      </c>
      <c r="Z27" s="10" t="s">
        <v>388</v>
      </c>
      <c r="AA27" s="10" t="s">
        <v>389</v>
      </c>
      <c r="AB27" s="10" t="s">
        <v>402</v>
      </c>
      <c r="AC27" s="10"/>
      <c r="AD27" s="10" t="s">
        <v>535</v>
      </c>
      <c r="AE27" s="10">
        <v>-287861</v>
      </c>
      <c r="AF27" s="10"/>
      <c r="AG27" s="10"/>
      <c r="AH27" s="10" t="s">
        <v>403</v>
      </c>
      <c r="AI27" s="10" t="s">
        <v>392</v>
      </c>
      <c r="AJ27" s="10"/>
      <c r="AK27" s="10" t="s">
        <v>953</v>
      </c>
      <c r="AL27" s="10"/>
      <c r="AM27" s="10"/>
      <c r="AN27" s="10"/>
      <c r="AO27" s="10" t="s">
        <v>954</v>
      </c>
      <c r="AP27" s="10" t="s">
        <v>604</v>
      </c>
      <c r="AQ27" s="10"/>
      <c r="AR27" s="10" t="s">
        <v>395</v>
      </c>
      <c r="AS27" s="10" t="s">
        <v>955</v>
      </c>
      <c r="AT27" s="10" t="s">
        <v>393</v>
      </c>
      <c r="AU27" s="10" t="s">
        <v>396</v>
      </c>
      <c r="AV27" s="10">
        <v>45701</v>
      </c>
      <c r="AW27" s="10">
        <v>-287861</v>
      </c>
      <c r="AX27" s="10" t="s">
        <v>397</v>
      </c>
      <c r="AY27" s="10" t="s">
        <v>956</v>
      </c>
      <c r="AZ27" s="10" t="s">
        <v>515</v>
      </c>
      <c r="BA27" s="10"/>
      <c r="BB27" s="10">
        <v>45693.457638888889</v>
      </c>
      <c r="BC27" s="10">
        <v>45709.387164351851</v>
      </c>
      <c r="BD27" s="10" t="s">
        <v>957</v>
      </c>
      <c r="BE27" s="2" t="s">
        <v>586</v>
      </c>
      <c r="BG27" s="2" t="s">
        <v>1570</v>
      </c>
      <c r="BH27" s="2" t="s">
        <v>1567</v>
      </c>
      <c r="BI27" s="2" t="s">
        <v>1571</v>
      </c>
    </row>
    <row r="28" spans="1:61" ht="39.75" customHeight="1">
      <c r="A28" s="2">
        <v>463</v>
      </c>
      <c r="B28" s="2" t="s">
        <v>958</v>
      </c>
      <c r="C28" s="2" t="s">
        <v>959</v>
      </c>
      <c r="E28" s="2" t="s">
        <v>404</v>
      </c>
      <c r="F28" s="2" t="s">
        <v>329</v>
      </c>
      <c r="G28" s="10">
        <v>45700</v>
      </c>
      <c r="H28" s="10" t="s">
        <v>960</v>
      </c>
      <c r="I28" s="10" t="s">
        <v>894</v>
      </c>
      <c r="J28" s="10" t="s">
        <v>894</v>
      </c>
      <c r="K28" s="10" t="s">
        <v>54</v>
      </c>
      <c r="L28" s="10" t="s">
        <v>961</v>
      </c>
      <c r="M28" s="10" t="s">
        <v>896</v>
      </c>
      <c r="N28" s="10" t="s">
        <v>159</v>
      </c>
      <c r="O28" s="10" t="s">
        <v>962</v>
      </c>
      <c r="P28" s="10" t="s">
        <v>898</v>
      </c>
      <c r="Q28" s="10" t="s">
        <v>899</v>
      </c>
      <c r="R28" s="10" t="s">
        <v>963</v>
      </c>
      <c r="S28" s="10">
        <v>-287861</v>
      </c>
      <c r="T28" s="10" t="s">
        <v>964</v>
      </c>
      <c r="U28" s="10" t="s">
        <v>965</v>
      </c>
      <c r="V28" s="10"/>
      <c r="W28" s="10"/>
      <c r="X28" s="10">
        <v>45688</v>
      </c>
      <c r="Y28" s="10" t="s">
        <v>399</v>
      </c>
      <c r="Z28" s="10" t="s">
        <v>407</v>
      </c>
      <c r="AA28" s="10" t="s">
        <v>407</v>
      </c>
      <c r="AB28" s="10" t="s">
        <v>402</v>
      </c>
      <c r="AC28" s="10"/>
      <c r="AD28" s="10" t="s">
        <v>535</v>
      </c>
      <c r="AE28" s="10">
        <v>-287861</v>
      </c>
      <c r="AF28" s="10"/>
      <c r="AG28" s="10"/>
      <c r="AH28" s="10" t="s">
        <v>403</v>
      </c>
      <c r="AI28" s="10" t="s">
        <v>966</v>
      </c>
      <c r="AJ28" s="10"/>
      <c r="AK28" s="10" t="s">
        <v>967</v>
      </c>
      <c r="AL28" s="10"/>
      <c r="AM28" s="10"/>
      <c r="AN28" s="10"/>
      <c r="AO28" s="10" t="s">
        <v>968</v>
      </c>
      <c r="AP28" s="10" t="s">
        <v>966</v>
      </c>
      <c r="AQ28" s="10"/>
      <c r="AR28" s="10" t="s">
        <v>395</v>
      </c>
      <c r="AS28" s="10" t="s">
        <v>969</v>
      </c>
      <c r="AT28" s="10" t="s">
        <v>546</v>
      </c>
      <c r="AU28" s="10" t="s">
        <v>396</v>
      </c>
      <c r="AV28" s="10">
        <v>45705</v>
      </c>
      <c r="AW28" s="10">
        <v>-287861</v>
      </c>
      <c r="AX28" s="10" t="s">
        <v>397</v>
      </c>
      <c r="AY28" s="10" t="s">
        <v>970</v>
      </c>
      <c r="AZ28" s="10" t="s">
        <v>409</v>
      </c>
      <c r="BA28" s="10"/>
      <c r="BB28" s="10">
        <v>45700.673402777778</v>
      </c>
      <c r="BC28" s="10">
        <v>45707.486261574071</v>
      </c>
      <c r="BD28" s="10" t="s">
        <v>971</v>
      </c>
      <c r="BE28" s="2" t="s">
        <v>586</v>
      </c>
      <c r="BG28" s="2" t="s">
        <v>1570</v>
      </c>
      <c r="BH28" s="2" t="s">
        <v>1567</v>
      </c>
      <c r="BI28" s="2" t="s">
        <v>1571</v>
      </c>
    </row>
    <row r="29" spans="1:61" ht="39.75" customHeight="1">
      <c r="A29" s="2">
        <v>464</v>
      </c>
      <c r="B29" s="2" t="s">
        <v>972</v>
      </c>
      <c r="C29" s="2" t="s">
        <v>973</v>
      </c>
      <c r="E29" s="2" t="s">
        <v>383</v>
      </c>
      <c r="F29" s="2" t="s">
        <v>384</v>
      </c>
      <c r="G29" s="10">
        <v>45701</v>
      </c>
      <c r="H29" s="10"/>
      <c r="I29" s="10" t="s">
        <v>792</v>
      </c>
      <c r="J29" s="10" t="s">
        <v>974</v>
      </c>
      <c r="K29" s="10" t="s">
        <v>54</v>
      </c>
      <c r="L29" s="10" t="s">
        <v>975</v>
      </c>
      <c r="M29" s="10" t="s">
        <v>385</v>
      </c>
      <c r="N29" s="10" t="s">
        <v>120</v>
      </c>
      <c r="O29" s="10"/>
      <c r="P29" s="10" t="s">
        <v>976</v>
      </c>
      <c r="Q29" s="10" t="s">
        <v>977</v>
      </c>
      <c r="R29" s="10" t="s">
        <v>422</v>
      </c>
      <c r="S29" s="10">
        <v>45666</v>
      </c>
      <c r="T29" s="10" t="s">
        <v>978</v>
      </c>
      <c r="U29" s="10" t="s">
        <v>979</v>
      </c>
      <c r="V29" s="10" t="s">
        <v>980</v>
      </c>
      <c r="W29" s="10"/>
      <c r="X29" s="10">
        <v>45698</v>
      </c>
      <c r="Y29" s="10" t="s">
        <v>387</v>
      </c>
      <c r="Z29" s="10" t="s">
        <v>388</v>
      </c>
      <c r="AA29" s="10" t="s">
        <v>389</v>
      </c>
      <c r="AB29" s="10" t="s">
        <v>402</v>
      </c>
      <c r="AC29" s="10"/>
      <c r="AD29" s="10" t="s">
        <v>535</v>
      </c>
      <c r="AE29" s="10">
        <v>-287861</v>
      </c>
      <c r="AF29" s="10"/>
      <c r="AG29" s="10"/>
      <c r="AH29" s="10" t="s">
        <v>403</v>
      </c>
      <c r="AI29" s="10"/>
      <c r="AJ29" s="10"/>
      <c r="AK29" s="10" t="s">
        <v>981</v>
      </c>
      <c r="AL29" s="10"/>
      <c r="AM29" s="10"/>
      <c r="AN29" s="10"/>
      <c r="AO29" s="10" t="s">
        <v>982</v>
      </c>
      <c r="AP29" s="10" t="s">
        <v>604</v>
      </c>
      <c r="AQ29" s="10"/>
      <c r="AR29" s="10" t="s">
        <v>395</v>
      </c>
      <c r="AS29" s="10" t="s">
        <v>983</v>
      </c>
      <c r="AT29" s="10" t="s">
        <v>696</v>
      </c>
      <c r="AU29" s="10" t="s">
        <v>396</v>
      </c>
      <c r="AV29" s="10">
        <v>-287861</v>
      </c>
      <c r="AW29" s="10">
        <v>-287861</v>
      </c>
      <c r="AX29" s="10" t="s">
        <v>397</v>
      </c>
      <c r="AY29" s="10" t="s">
        <v>984</v>
      </c>
      <c r="AZ29" s="10" t="s">
        <v>397</v>
      </c>
      <c r="BA29" s="10"/>
      <c r="BB29" s="10">
        <v>45701.462650462963</v>
      </c>
      <c r="BC29" s="10">
        <v>45726.566469907404</v>
      </c>
      <c r="BD29" s="10" t="s">
        <v>985</v>
      </c>
      <c r="BE29" s="2" t="s">
        <v>586</v>
      </c>
      <c r="BG29" s="2" t="s">
        <v>1570</v>
      </c>
      <c r="BH29" s="2" t="s">
        <v>1567</v>
      </c>
      <c r="BI29" s="2" t="s">
        <v>1571</v>
      </c>
    </row>
    <row r="30" spans="1:61" ht="39.75" customHeight="1">
      <c r="A30" s="2">
        <v>465</v>
      </c>
      <c r="B30" s="2" t="s">
        <v>986</v>
      </c>
      <c r="E30" s="2" t="s">
        <v>527</v>
      </c>
      <c r="F30" s="2" t="s">
        <v>325</v>
      </c>
      <c r="G30" s="10">
        <v>45705</v>
      </c>
      <c r="H30" s="2" t="s">
        <v>987</v>
      </c>
      <c r="I30" s="2" t="s">
        <v>988</v>
      </c>
      <c r="J30" s="2" t="s">
        <v>988</v>
      </c>
      <c r="K30" s="2" t="s">
        <v>54</v>
      </c>
      <c r="L30" s="2" t="s">
        <v>989</v>
      </c>
      <c r="M30" s="2" t="s">
        <v>398</v>
      </c>
      <c r="N30" s="10" t="s">
        <v>145</v>
      </c>
      <c r="P30" s="2" t="s">
        <v>925</v>
      </c>
      <c r="Q30" s="10" t="s">
        <v>926</v>
      </c>
      <c r="R30" s="2" t="s">
        <v>990</v>
      </c>
      <c r="S30" s="10">
        <v>-287861</v>
      </c>
      <c r="T30" s="2" t="s">
        <v>991</v>
      </c>
      <c r="U30" s="10" t="s">
        <v>992</v>
      </c>
      <c r="V30" s="2" t="s">
        <v>626</v>
      </c>
      <c r="W30" s="2" t="s">
        <v>688</v>
      </c>
      <c r="X30" s="10">
        <v>45701</v>
      </c>
      <c r="Y30" s="2" t="s">
        <v>399</v>
      </c>
      <c r="Z30" s="2" t="s">
        <v>407</v>
      </c>
      <c r="AA30" s="2" t="s">
        <v>407</v>
      </c>
      <c r="AB30" s="2" t="s">
        <v>402</v>
      </c>
      <c r="AD30" s="2" t="s">
        <v>535</v>
      </c>
      <c r="AE30" s="10">
        <v>-287861</v>
      </c>
      <c r="AH30" s="2" t="s">
        <v>391</v>
      </c>
      <c r="AI30" s="2" t="s">
        <v>392</v>
      </c>
      <c r="AK30" s="2" t="s">
        <v>993</v>
      </c>
      <c r="AO30" s="2" t="s">
        <v>994</v>
      </c>
      <c r="AP30" s="2" t="s">
        <v>606</v>
      </c>
      <c r="AQ30" s="2" t="s">
        <v>625</v>
      </c>
      <c r="AR30" s="2" t="s">
        <v>421</v>
      </c>
      <c r="AS30" s="2" t="s">
        <v>995</v>
      </c>
      <c r="AT30" s="2" t="s">
        <v>393</v>
      </c>
      <c r="AU30" s="2" t="s">
        <v>396</v>
      </c>
      <c r="AV30" s="10">
        <v>45716</v>
      </c>
      <c r="AW30" s="10">
        <v>-287861</v>
      </c>
      <c r="AX30" s="57" t="s">
        <v>397</v>
      </c>
      <c r="AY30" s="2" t="s">
        <v>996</v>
      </c>
      <c r="AZ30" s="2" t="s">
        <v>417</v>
      </c>
      <c r="BB30" s="10">
        <v>45705.807858796295</v>
      </c>
      <c r="BC30" s="10">
        <v>45762.562673611108</v>
      </c>
      <c r="BD30" s="2" t="s">
        <v>997</v>
      </c>
      <c r="BE30" s="2" t="s">
        <v>585</v>
      </c>
      <c r="BF30" s="2" t="s">
        <v>998</v>
      </c>
      <c r="BG30" s="2" t="s">
        <v>1570</v>
      </c>
      <c r="BH30" s="2" t="s">
        <v>1567</v>
      </c>
      <c r="BI30" s="2" t="s">
        <v>1571</v>
      </c>
    </row>
    <row r="31" spans="1:61" ht="39.75" customHeight="1">
      <c r="A31" s="2">
        <v>468</v>
      </c>
      <c r="B31" s="2" t="s">
        <v>999</v>
      </c>
      <c r="E31" s="2" t="s">
        <v>379</v>
      </c>
      <c r="F31" s="2" t="s">
        <v>318</v>
      </c>
      <c r="G31" s="10">
        <v>45713</v>
      </c>
      <c r="H31" s="2" t="s">
        <v>1000</v>
      </c>
      <c r="I31" s="2" t="s">
        <v>1001</v>
      </c>
      <c r="K31" s="2" t="s">
        <v>54</v>
      </c>
      <c r="L31" s="2" t="s">
        <v>1002</v>
      </c>
      <c r="M31" s="2" t="s">
        <v>385</v>
      </c>
      <c r="N31" s="10" t="s">
        <v>129</v>
      </c>
      <c r="O31" s="2" t="s">
        <v>1003</v>
      </c>
      <c r="P31" s="2" t="s">
        <v>1004</v>
      </c>
      <c r="Q31" s="10" t="s">
        <v>1005</v>
      </c>
      <c r="R31" s="2" t="s">
        <v>1006</v>
      </c>
      <c r="S31" s="10">
        <v>-287861</v>
      </c>
      <c r="T31" s="2" t="s">
        <v>1007</v>
      </c>
      <c r="U31" s="10" t="s">
        <v>1008</v>
      </c>
      <c r="V31" s="2" t="s">
        <v>1009</v>
      </c>
      <c r="X31" s="10">
        <v>45700</v>
      </c>
      <c r="Y31" s="2" t="s">
        <v>387</v>
      </c>
      <c r="Z31" s="2" t="s">
        <v>388</v>
      </c>
      <c r="AA31" s="2" t="s">
        <v>389</v>
      </c>
      <c r="AB31" s="2" t="s">
        <v>402</v>
      </c>
      <c r="AD31" s="2" t="s">
        <v>535</v>
      </c>
      <c r="AE31" s="10">
        <v>-287861</v>
      </c>
      <c r="AH31" s="2" t="s">
        <v>403</v>
      </c>
      <c r="AK31" s="2" t="s">
        <v>1010</v>
      </c>
      <c r="AO31" s="2" t="s">
        <v>1011</v>
      </c>
      <c r="AP31" s="2" t="s">
        <v>604</v>
      </c>
      <c r="AR31" s="2" t="s">
        <v>395</v>
      </c>
      <c r="AS31" s="2" t="s">
        <v>1012</v>
      </c>
      <c r="AT31" s="2" t="s">
        <v>696</v>
      </c>
      <c r="AU31" s="2" t="s">
        <v>396</v>
      </c>
      <c r="AV31" s="10">
        <v>45723</v>
      </c>
      <c r="AW31" s="10">
        <v>-287861</v>
      </c>
      <c r="AX31" s="57" t="s">
        <v>397</v>
      </c>
      <c r="AY31" s="2" t="s">
        <v>1013</v>
      </c>
      <c r="AZ31" s="2" t="s">
        <v>1014</v>
      </c>
      <c r="BB31" s="10">
        <v>45713.631643518522</v>
      </c>
      <c r="BC31" s="10">
        <v>45721.568032407406</v>
      </c>
      <c r="BD31" s="2" t="s">
        <v>1015</v>
      </c>
      <c r="BE31" s="2" t="s">
        <v>586</v>
      </c>
      <c r="BG31" s="2" t="s">
        <v>1570</v>
      </c>
      <c r="BH31" s="2" t="s">
        <v>1567</v>
      </c>
      <c r="BI31" s="2" t="s">
        <v>1571</v>
      </c>
    </row>
    <row r="32" spans="1:61" ht="39.75" customHeight="1">
      <c r="A32" s="2">
        <v>469</v>
      </c>
      <c r="B32" s="2" t="s">
        <v>1016</v>
      </c>
      <c r="F32" s="2" t="s">
        <v>320</v>
      </c>
      <c r="G32" s="10">
        <v>45651</v>
      </c>
      <c r="I32" s="2" t="s">
        <v>1017</v>
      </c>
      <c r="K32" s="2" t="s">
        <v>54</v>
      </c>
      <c r="L32" s="2" t="s">
        <v>1018</v>
      </c>
      <c r="M32" s="2" t="s">
        <v>398</v>
      </c>
      <c r="O32" s="2" t="s">
        <v>1019</v>
      </c>
      <c r="P32" s="2" t="s">
        <v>1020</v>
      </c>
      <c r="Q32" s="10" t="s">
        <v>1021</v>
      </c>
      <c r="R32" s="2" t="s">
        <v>422</v>
      </c>
      <c r="S32" s="10">
        <v>-287861</v>
      </c>
      <c r="T32" s="2" t="s">
        <v>1022</v>
      </c>
      <c r="U32" s="10" t="s">
        <v>1023</v>
      </c>
      <c r="V32" s="2" t="s">
        <v>1024</v>
      </c>
      <c r="X32" s="10">
        <v>-287861</v>
      </c>
      <c r="Y32" s="2" t="s">
        <v>387</v>
      </c>
      <c r="Z32" s="2" t="s">
        <v>407</v>
      </c>
      <c r="AA32" s="2" t="s">
        <v>389</v>
      </c>
      <c r="AB32" s="2" t="s">
        <v>758</v>
      </c>
      <c r="AD32" s="2" t="s">
        <v>535</v>
      </c>
      <c r="AE32" s="10">
        <v>-287861</v>
      </c>
      <c r="AH32" s="2" t="s">
        <v>403</v>
      </c>
      <c r="AK32" s="2" t="s">
        <v>1025</v>
      </c>
      <c r="AO32" s="2" t="s">
        <v>1026</v>
      </c>
      <c r="AP32" s="2" t="s">
        <v>604</v>
      </c>
      <c r="AQ32" s="2" t="s">
        <v>1027</v>
      </c>
      <c r="AR32" s="2" t="s">
        <v>395</v>
      </c>
      <c r="AT32" s="2" t="s">
        <v>396</v>
      </c>
      <c r="AU32" s="2" t="s">
        <v>394</v>
      </c>
      <c r="AV32" s="10">
        <v>45716</v>
      </c>
      <c r="AW32" s="10">
        <v>-287861</v>
      </c>
      <c r="AX32" s="57" t="s">
        <v>397</v>
      </c>
      <c r="AY32" s="2" t="s">
        <v>1028</v>
      </c>
      <c r="AZ32" s="2" t="s">
        <v>420</v>
      </c>
      <c r="BB32" s="10">
        <v>45714.582037037035</v>
      </c>
      <c r="BC32" s="10">
        <v>45716.485324074078</v>
      </c>
      <c r="BD32" s="2" t="s">
        <v>1029</v>
      </c>
      <c r="BE32" s="2" t="s">
        <v>586</v>
      </c>
      <c r="BG32" s="2" t="s">
        <v>1568</v>
      </c>
      <c r="BH32" s="2" t="s">
        <v>1567</v>
      </c>
      <c r="BI32" s="2" t="s">
        <v>1569</v>
      </c>
    </row>
    <row r="33" spans="1:61" ht="39.75" customHeight="1">
      <c r="A33" s="2">
        <v>476</v>
      </c>
      <c r="B33" s="2" t="s">
        <v>1030</v>
      </c>
      <c r="E33" s="2" t="s">
        <v>379</v>
      </c>
      <c r="F33" s="2" t="s">
        <v>1031</v>
      </c>
      <c r="G33" s="10">
        <v>45726</v>
      </c>
      <c r="H33" s="2" t="s">
        <v>1000</v>
      </c>
      <c r="I33" s="2" t="s">
        <v>1032</v>
      </c>
      <c r="J33" s="2" t="s">
        <v>1033</v>
      </c>
      <c r="K33" s="2" t="s">
        <v>54</v>
      </c>
      <c r="L33" s="2" t="s">
        <v>1034</v>
      </c>
      <c r="M33" s="2" t="s">
        <v>385</v>
      </c>
      <c r="N33" s="10" t="s">
        <v>120</v>
      </c>
      <c r="O33" s="2" t="s">
        <v>1035</v>
      </c>
      <c r="P33" s="2" t="s">
        <v>1036</v>
      </c>
      <c r="Q33" s="10" t="s">
        <v>1037</v>
      </c>
      <c r="R33" s="2" t="s">
        <v>1038</v>
      </c>
      <c r="S33" s="10">
        <v>-287861</v>
      </c>
      <c r="T33" s="2" t="s">
        <v>1007</v>
      </c>
      <c r="U33" s="10" t="s">
        <v>1039</v>
      </c>
      <c r="V33" s="2" t="s">
        <v>1040</v>
      </c>
      <c r="X33" s="10">
        <v>45715</v>
      </c>
      <c r="Y33" s="2" t="s">
        <v>387</v>
      </c>
      <c r="Z33" s="2" t="s">
        <v>388</v>
      </c>
      <c r="AA33" s="2" t="s">
        <v>389</v>
      </c>
      <c r="AB33" s="2" t="s">
        <v>402</v>
      </c>
      <c r="AD33" s="2" t="s">
        <v>535</v>
      </c>
      <c r="AE33" s="10">
        <v>-287861</v>
      </c>
      <c r="AH33" s="2" t="s">
        <v>403</v>
      </c>
      <c r="AK33" s="2" t="s">
        <v>1041</v>
      </c>
      <c r="AO33" s="2" t="s">
        <v>1042</v>
      </c>
      <c r="AP33" s="2" t="s">
        <v>604</v>
      </c>
      <c r="AR33" s="2" t="s">
        <v>395</v>
      </c>
      <c r="AS33" s="2" t="s">
        <v>1043</v>
      </c>
      <c r="AT33" s="2" t="s">
        <v>696</v>
      </c>
      <c r="AU33" s="2" t="s">
        <v>396</v>
      </c>
      <c r="AV33" s="10">
        <v>45733</v>
      </c>
      <c r="AW33" s="10">
        <v>-287861</v>
      </c>
      <c r="AX33" s="57" t="s">
        <v>397</v>
      </c>
      <c r="AY33" s="2" t="s">
        <v>1044</v>
      </c>
      <c r="AZ33" s="2" t="s">
        <v>1014</v>
      </c>
      <c r="BB33" s="10">
        <v>45726.698263888888</v>
      </c>
      <c r="BC33" s="10">
        <v>45729.574837962966</v>
      </c>
      <c r="BD33" s="2" t="s">
        <v>1045</v>
      </c>
      <c r="BE33" s="2" t="s">
        <v>586</v>
      </c>
      <c r="BG33" s="2" t="s">
        <v>1570</v>
      </c>
      <c r="BH33" s="2" t="s">
        <v>1567</v>
      </c>
      <c r="BI33" s="2" t="s">
        <v>1571</v>
      </c>
    </row>
    <row r="34" spans="1:61" ht="39.75" customHeight="1">
      <c r="A34" s="2">
        <v>477</v>
      </c>
      <c r="B34" s="2" t="s">
        <v>1046</v>
      </c>
      <c r="E34" s="2" t="s">
        <v>379</v>
      </c>
      <c r="F34" s="2" t="s">
        <v>325</v>
      </c>
      <c r="G34" s="10">
        <v>45727</v>
      </c>
      <c r="I34" s="2" t="s">
        <v>1047</v>
      </c>
      <c r="L34" s="2" t="s">
        <v>529</v>
      </c>
      <c r="M34" s="2" t="s">
        <v>398</v>
      </c>
      <c r="N34" s="10" t="s">
        <v>1048</v>
      </c>
      <c r="O34" s="2" t="s">
        <v>1049</v>
      </c>
      <c r="P34" s="2" t="s">
        <v>1050</v>
      </c>
      <c r="Q34" s="10" t="s">
        <v>1051</v>
      </c>
      <c r="R34" s="2" t="s">
        <v>1052</v>
      </c>
      <c r="S34" s="10">
        <v>45668</v>
      </c>
      <c r="T34" s="2" t="s">
        <v>1053</v>
      </c>
      <c r="U34" s="10" t="s">
        <v>1054</v>
      </c>
      <c r="W34" s="2" t="s">
        <v>1055</v>
      </c>
      <c r="X34" s="10">
        <v>45723</v>
      </c>
      <c r="Y34" s="2" t="s">
        <v>399</v>
      </c>
      <c r="Z34" s="2" t="s">
        <v>407</v>
      </c>
      <c r="AA34" s="2" t="s">
        <v>407</v>
      </c>
      <c r="AB34" s="2" t="s">
        <v>402</v>
      </c>
      <c r="AE34" s="10">
        <v>-287861</v>
      </c>
      <c r="AV34" s="10">
        <v>45742</v>
      </c>
      <c r="AW34" s="10">
        <v>-287861</v>
      </c>
      <c r="AX34" s="57" t="s">
        <v>417</v>
      </c>
      <c r="AY34" s="2" t="s">
        <v>1056</v>
      </c>
      <c r="AZ34" s="2" t="s">
        <v>417</v>
      </c>
      <c r="BB34" s="10">
        <v>45727.379560185182</v>
      </c>
      <c r="BC34" s="10">
        <v>45727.379791666666</v>
      </c>
      <c r="BD34" s="2" t="s">
        <v>1057</v>
      </c>
      <c r="BE34" s="2" t="s">
        <v>585</v>
      </c>
      <c r="BG34" s="2" t="s">
        <v>1570</v>
      </c>
      <c r="BH34" s="2" t="s">
        <v>1567</v>
      </c>
      <c r="BI34" s="2" t="s">
        <v>1571</v>
      </c>
    </row>
    <row r="35" spans="1:61" ht="39.75" customHeight="1">
      <c r="A35" s="2">
        <v>478</v>
      </c>
      <c r="B35" s="2" t="s">
        <v>1058</v>
      </c>
      <c r="E35" s="2" t="s">
        <v>379</v>
      </c>
      <c r="F35" s="2" t="s">
        <v>325</v>
      </c>
      <c r="G35" s="10">
        <v>45719</v>
      </c>
      <c r="I35" s="2" t="s">
        <v>988</v>
      </c>
      <c r="K35" s="2" t="s">
        <v>54</v>
      </c>
      <c r="L35" s="2" t="s">
        <v>1059</v>
      </c>
      <c r="M35" s="2" t="s">
        <v>398</v>
      </c>
      <c r="N35" s="10" t="s">
        <v>145</v>
      </c>
      <c r="O35" s="2" t="s">
        <v>1060</v>
      </c>
      <c r="P35" s="2" t="s">
        <v>925</v>
      </c>
      <c r="Q35" s="10" t="s">
        <v>926</v>
      </c>
      <c r="R35" s="2" t="s">
        <v>1061</v>
      </c>
      <c r="S35" s="10">
        <v>45635</v>
      </c>
      <c r="T35" s="2" t="s">
        <v>745</v>
      </c>
      <c r="U35" s="10" t="s">
        <v>1062</v>
      </c>
      <c r="V35" s="2" t="s">
        <v>623</v>
      </c>
      <c r="W35" s="2" t="s">
        <v>688</v>
      </c>
      <c r="X35" s="10">
        <v>45715</v>
      </c>
      <c r="Y35" s="2" t="s">
        <v>399</v>
      </c>
      <c r="Z35" s="2" t="s">
        <v>407</v>
      </c>
      <c r="AA35" s="2" t="s">
        <v>407</v>
      </c>
      <c r="AB35" s="2" t="s">
        <v>402</v>
      </c>
      <c r="AD35" s="2" t="s">
        <v>535</v>
      </c>
      <c r="AE35" s="10">
        <v>-287861</v>
      </c>
      <c r="AH35" s="2" t="s">
        <v>391</v>
      </c>
      <c r="AI35" s="2" t="s">
        <v>392</v>
      </c>
      <c r="AK35" s="2" t="s">
        <v>1063</v>
      </c>
      <c r="AO35" s="2" t="s">
        <v>1064</v>
      </c>
      <c r="AP35" s="2" t="s">
        <v>606</v>
      </c>
      <c r="AQ35" s="2" t="s">
        <v>297</v>
      </c>
      <c r="AR35" s="2" t="s">
        <v>421</v>
      </c>
      <c r="AS35" s="2" t="s">
        <v>1065</v>
      </c>
      <c r="AT35" s="2" t="s">
        <v>393</v>
      </c>
      <c r="AU35" s="2" t="s">
        <v>396</v>
      </c>
      <c r="AV35" s="10">
        <v>45742</v>
      </c>
      <c r="AW35" s="10">
        <v>-287861</v>
      </c>
      <c r="AX35" s="57" t="s">
        <v>397</v>
      </c>
      <c r="AY35" s="2" t="s">
        <v>1066</v>
      </c>
      <c r="AZ35" s="2" t="s">
        <v>417</v>
      </c>
      <c r="BB35" s="10">
        <v>45727.387916666667</v>
      </c>
      <c r="BC35" s="10">
        <v>45762.558935185189</v>
      </c>
      <c r="BD35" s="2" t="s">
        <v>1067</v>
      </c>
      <c r="BE35" s="2" t="s">
        <v>585</v>
      </c>
      <c r="BF35" s="2" t="s">
        <v>998</v>
      </c>
      <c r="BG35" s="2" t="s">
        <v>1570</v>
      </c>
      <c r="BH35" s="2" t="s">
        <v>1567</v>
      </c>
      <c r="BI35" s="2" t="s">
        <v>1571</v>
      </c>
    </row>
    <row r="36" spans="1:61" ht="39.75" customHeight="1">
      <c r="A36" s="2">
        <v>483</v>
      </c>
      <c r="B36" s="2" t="s">
        <v>1072</v>
      </c>
      <c r="E36" s="2" t="s">
        <v>404</v>
      </c>
      <c r="F36" s="2" t="s">
        <v>329</v>
      </c>
      <c r="G36" s="10">
        <v>45733</v>
      </c>
      <c r="H36" s="2" t="s">
        <v>581</v>
      </c>
      <c r="I36" s="2" t="s">
        <v>411</v>
      </c>
      <c r="J36" s="2" t="s">
        <v>1073</v>
      </c>
      <c r="K36" s="2" t="s">
        <v>54</v>
      </c>
      <c r="L36" s="2" t="s">
        <v>529</v>
      </c>
      <c r="M36" s="2" t="s">
        <v>398</v>
      </c>
      <c r="N36" s="10" t="s">
        <v>145</v>
      </c>
      <c r="O36" s="2" t="s">
        <v>386</v>
      </c>
      <c r="P36" s="2" t="s">
        <v>412</v>
      </c>
      <c r="Q36" s="10" t="s">
        <v>413</v>
      </c>
      <c r="R36" s="2" t="s">
        <v>1074</v>
      </c>
      <c r="S36" s="10">
        <v>-287861</v>
      </c>
      <c r="T36" s="2" t="s">
        <v>1075</v>
      </c>
      <c r="U36" s="10" t="s">
        <v>1076</v>
      </c>
      <c r="V36" s="2" t="s">
        <v>1077</v>
      </c>
      <c r="W36" s="2" t="s">
        <v>416</v>
      </c>
      <c r="X36" s="10">
        <v>45657</v>
      </c>
      <c r="Y36" s="2" t="s">
        <v>399</v>
      </c>
      <c r="Z36" s="2" t="s">
        <v>400</v>
      </c>
      <c r="AA36" s="2" t="s">
        <v>401</v>
      </c>
      <c r="AB36" s="2" t="s">
        <v>402</v>
      </c>
      <c r="AE36" s="10">
        <v>-287861</v>
      </c>
      <c r="AI36" s="2" t="s">
        <v>392</v>
      </c>
      <c r="AK36" s="2" t="s">
        <v>605</v>
      </c>
      <c r="AO36" s="2" t="s">
        <v>1174</v>
      </c>
      <c r="AP36" s="2" t="s">
        <v>606</v>
      </c>
      <c r="AQ36" s="2" t="s">
        <v>528</v>
      </c>
      <c r="AR36" s="2" t="s">
        <v>410</v>
      </c>
      <c r="AT36" s="2" t="s">
        <v>393</v>
      </c>
      <c r="AV36" s="10">
        <v>45744</v>
      </c>
      <c r="AW36" s="10">
        <v>-287861</v>
      </c>
      <c r="AX36" s="57" t="s">
        <v>409</v>
      </c>
      <c r="AY36" s="2" t="s">
        <v>1078</v>
      </c>
      <c r="AZ36" s="2" t="s">
        <v>409</v>
      </c>
      <c r="BB36" s="10">
        <v>45733.461122685185</v>
      </c>
      <c r="BC36" s="10">
        <v>45764.654999999999</v>
      </c>
      <c r="BD36" s="2" t="s">
        <v>1079</v>
      </c>
      <c r="BE36" s="2" t="s">
        <v>586</v>
      </c>
      <c r="BG36" s="2" t="s">
        <v>1570</v>
      </c>
      <c r="BH36" s="2" t="s">
        <v>1567</v>
      </c>
      <c r="BI36" s="2" t="s">
        <v>1571</v>
      </c>
    </row>
    <row r="37" spans="1:61" ht="39.75" customHeight="1">
      <c r="A37" s="2">
        <v>484</v>
      </c>
      <c r="B37" s="2" t="s">
        <v>1080</v>
      </c>
      <c r="F37" s="2" t="s">
        <v>384</v>
      </c>
      <c r="G37" s="10">
        <v>45733</v>
      </c>
      <c r="H37" s="2" t="s">
        <v>1081</v>
      </c>
      <c r="I37" s="2" t="s">
        <v>1082</v>
      </c>
      <c r="J37" s="2" t="s">
        <v>1083</v>
      </c>
      <c r="K37" s="2" t="s">
        <v>54</v>
      </c>
      <c r="L37" s="2" t="s">
        <v>1084</v>
      </c>
      <c r="M37" s="2" t="s">
        <v>385</v>
      </c>
      <c r="N37" s="10" t="s">
        <v>120</v>
      </c>
      <c r="O37" s="2" t="s">
        <v>591</v>
      </c>
      <c r="P37" s="2" t="s">
        <v>1085</v>
      </c>
      <c r="Q37" s="10" t="s">
        <v>1086</v>
      </c>
      <c r="R37" s="2" t="s">
        <v>1087</v>
      </c>
      <c r="S37" s="10">
        <v>-287861</v>
      </c>
      <c r="T37" s="2" t="s">
        <v>1088</v>
      </c>
      <c r="U37" s="10" t="s">
        <v>1089</v>
      </c>
      <c r="X37" s="10">
        <v>-287861</v>
      </c>
      <c r="Y37" s="2" t="s">
        <v>387</v>
      </c>
      <c r="Z37" s="2" t="s">
        <v>388</v>
      </c>
      <c r="AA37" s="2" t="s">
        <v>389</v>
      </c>
      <c r="AB37" s="2" t="s">
        <v>402</v>
      </c>
      <c r="AE37" s="10">
        <v>-287861</v>
      </c>
      <c r="AH37" s="2" t="s">
        <v>403</v>
      </c>
      <c r="AK37" s="2" t="s">
        <v>1090</v>
      </c>
      <c r="AO37" s="2" t="s">
        <v>1091</v>
      </c>
      <c r="AP37" s="2" t="s">
        <v>604</v>
      </c>
      <c r="AR37" s="2" t="s">
        <v>395</v>
      </c>
      <c r="AS37" s="2" t="s">
        <v>1092</v>
      </c>
      <c r="AT37" s="2" t="s">
        <v>696</v>
      </c>
      <c r="AU37" s="2" t="s">
        <v>396</v>
      </c>
      <c r="AV37" s="10">
        <v>45741</v>
      </c>
      <c r="AW37" s="10">
        <v>-287861</v>
      </c>
      <c r="AX37" s="57" t="s">
        <v>397</v>
      </c>
      <c r="AY37" s="2" t="s">
        <v>1093</v>
      </c>
      <c r="AZ37" s="2" t="s">
        <v>515</v>
      </c>
      <c r="BB37" s="10">
        <v>45733.544062499997</v>
      </c>
      <c r="BC37" s="10">
        <v>45741.492581018516</v>
      </c>
      <c r="BD37" s="2" t="s">
        <v>1094</v>
      </c>
      <c r="BE37" s="2" t="s">
        <v>586</v>
      </c>
      <c r="BG37" s="2" t="s">
        <v>1570</v>
      </c>
      <c r="BH37" s="2" t="s">
        <v>1567</v>
      </c>
      <c r="BI37" s="2" t="s">
        <v>1571</v>
      </c>
    </row>
    <row r="38" spans="1:61" ht="39.75" customHeight="1">
      <c r="A38" s="2">
        <v>486</v>
      </c>
      <c r="B38" s="2" t="s">
        <v>1095</v>
      </c>
      <c r="C38" s="2" t="s">
        <v>1096</v>
      </c>
      <c r="E38" s="2" t="s">
        <v>379</v>
      </c>
      <c r="F38" s="2" t="s">
        <v>1031</v>
      </c>
      <c r="G38" s="10">
        <v>45734</v>
      </c>
      <c r="H38" s="2" t="s">
        <v>1097</v>
      </c>
      <c r="I38" s="2" t="s">
        <v>1098</v>
      </c>
      <c r="J38" s="2" t="s">
        <v>1099</v>
      </c>
      <c r="K38" s="2" t="s">
        <v>54</v>
      </c>
      <c r="L38" s="2" t="s">
        <v>1100</v>
      </c>
      <c r="M38" s="2" t="s">
        <v>385</v>
      </c>
      <c r="N38" s="10" t="s">
        <v>117</v>
      </c>
      <c r="O38" s="2" t="s">
        <v>1101</v>
      </c>
      <c r="P38" s="2" t="s">
        <v>1102</v>
      </c>
      <c r="Q38" s="10" t="s">
        <v>1103</v>
      </c>
      <c r="R38" s="2" t="s">
        <v>1104</v>
      </c>
      <c r="S38" s="10">
        <v>-287861</v>
      </c>
      <c r="T38" s="2" t="s">
        <v>1105</v>
      </c>
      <c r="U38" s="10" t="s">
        <v>1106</v>
      </c>
      <c r="V38" s="2" t="s">
        <v>1107</v>
      </c>
      <c r="X38" s="10">
        <v>45723</v>
      </c>
      <c r="Y38" s="2" t="s">
        <v>387</v>
      </c>
      <c r="Z38" s="2" t="s">
        <v>388</v>
      </c>
      <c r="AA38" s="2" t="s">
        <v>389</v>
      </c>
      <c r="AB38" s="2" t="s">
        <v>402</v>
      </c>
      <c r="AD38" s="2" t="s">
        <v>535</v>
      </c>
      <c r="AE38" s="10">
        <v>-287861</v>
      </c>
      <c r="AH38" s="2" t="s">
        <v>403</v>
      </c>
      <c r="AK38" s="2" t="s">
        <v>1108</v>
      </c>
      <c r="AO38" s="2" t="s">
        <v>1109</v>
      </c>
      <c r="AP38" s="2" t="s">
        <v>604</v>
      </c>
      <c r="AR38" s="2" t="s">
        <v>395</v>
      </c>
      <c r="AS38" s="2" t="s">
        <v>1110</v>
      </c>
      <c r="AT38" s="2" t="s">
        <v>696</v>
      </c>
      <c r="AU38" s="2" t="s">
        <v>396</v>
      </c>
      <c r="AV38" s="10">
        <v>45741</v>
      </c>
      <c r="AW38" s="10">
        <v>-287861</v>
      </c>
      <c r="AX38" s="57" t="s">
        <v>397</v>
      </c>
      <c r="AY38" s="2" t="s">
        <v>1111</v>
      </c>
      <c r="AZ38" s="2" t="s">
        <v>1014</v>
      </c>
      <c r="BB38" s="10">
        <v>45734.740590277775</v>
      </c>
      <c r="BC38" s="10">
        <v>45749.434108796297</v>
      </c>
      <c r="BD38" s="2" t="s">
        <v>1112</v>
      </c>
      <c r="BE38" s="2" t="s">
        <v>586</v>
      </c>
      <c r="BG38" s="2" t="s">
        <v>1570</v>
      </c>
      <c r="BH38" s="2" t="s">
        <v>1567</v>
      </c>
      <c r="BI38" s="2" t="s">
        <v>1571</v>
      </c>
    </row>
    <row r="39" spans="1:61" ht="39.75" customHeight="1">
      <c r="A39" s="2">
        <v>488</v>
      </c>
      <c r="B39" s="2" t="s">
        <v>1113</v>
      </c>
      <c r="F39" s="2" t="s">
        <v>384</v>
      </c>
      <c r="G39" s="10">
        <v>45737</v>
      </c>
      <c r="H39" s="2" t="s">
        <v>1114</v>
      </c>
      <c r="I39" s="2" t="s">
        <v>1115</v>
      </c>
      <c r="L39" s="2" t="s">
        <v>529</v>
      </c>
      <c r="M39" s="2" t="s">
        <v>385</v>
      </c>
      <c r="N39" s="10" t="s">
        <v>126</v>
      </c>
      <c r="O39" s="2" t="s">
        <v>1116</v>
      </c>
      <c r="P39" s="2" t="s">
        <v>1117</v>
      </c>
      <c r="Q39" s="10" t="s">
        <v>1118</v>
      </c>
      <c r="R39" s="2" t="s">
        <v>1119</v>
      </c>
      <c r="S39" s="10">
        <v>-287861</v>
      </c>
      <c r="T39" s="2" t="s">
        <v>747</v>
      </c>
      <c r="U39" s="10" t="s">
        <v>1120</v>
      </c>
      <c r="V39" s="2" t="s">
        <v>1121</v>
      </c>
      <c r="X39" s="10">
        <v>45737</v>
      </c>
      <c r="Y39" s="2" t="s">
        <v>387</v>
      </c>
      <c r="Z39" s="2" t="s">
        <v>388</v>
      </c>
      <c r="AA39" s="2" t="s">
        <v>389</v>
      </c>
      <c r="AB39" s="2" t="s">
        <v>402</v>
      </c>
      <c r="AE39" s="10">
        <v>-287861</v>
      </c>
      <c r="AV39" s="10">
        <v>-287861</v>
      </c>
      <c r="AW39" s="10">
        <v>-287861</v>
      </c>
      <c r="AX39" s="57" t="s">
        <v>515</v>
      </c>
      <c r="AY39" s="2" t="s">
        <v>1122</v>
      </c>
      <c r="AZ39" s="2" t="s">
        <v>515</v>
      </c>
      <c r="BB39" s="10">
        <v>45737.637766203705</v>
      </c>
      <c r="BC39" s="10">
        <v>45737.637824074074</v>
      </c>
      <c r="BD39" s="2" t="s">
        <v>1123</v>
      </c>
      <c r="BE39" s="2" t="s">
        <v>585</v>
      </c>
      <c r="BG39" s="2" t="s">
        <v>1570</v>
      </c>
      <c r="BH39" s="2" t="s">
        <v>1567</v>
      </c>
      <c r="BI39" s="2" t="s">
        <v>1571</v>
      </c>
    </row>
    <row r="40" spans="1:61" ht="39.75" customHeight="1">
      <c r="A40" s="2">
        <v>494</v>
      </c>
      <c r="B40" s="2" t="s">
        <v>1124</v>
      </c>
      <c r="E40" s="2" t="s">
        <v>404</v>
      </c>
      <c r="F40" s="2" t="s">
        <v>329</v>
      </c>
      <c r="G40" s="10">
        <v>45754</v>
      </c>
      <c r="H40" s="2" t="s">
        <v>581</v>
      </c>
      <c r="I40" s="2" t="s">
        <v>411</v>
      </c>
      <c r="K40" s="2" t="s">
        <v>54</v>
      </c>
      <c r="L40" s="2" t="s">
        <v>529</v>
      </c>
      <c r="M40" s="2" t="s">
        <v>398</v>
      </c>
      <c r="N40" s="10" t="s">
        <v>145</v>
      </c>
      <c r="O40" s="2" t="s">
        <v>386</v>
      </c>
      <c r="P40" s="2" t="s">
        <v>412</v>
      </c>
      <c r="Q40" s="10" t="s">
        <v>413</v>
      </c>
      <c r="R40" s="2" t="s">
        <v>1125</v>
      </c>
      <c r="S40" s="10">
        <v>-287861</v>
      </c>
      <c r="T40" s="2" t="s">
        <v>1126</v>
      </c>
      <c r="U40" s="10" t="s">
        <v>1127</v>
      </c>
      <c r="W40" s="2" t="s">
        <v>416</v>
      </c>
      <c r="X40" s="10">
        <v>45657</v>
      </c>
      <c r="Y40" s="2" t="s">
        <v>399</v>
      </c>
      <c r="Z40" s="2" t="s">
        <v>400</v>
      </c>
      <c r="AA40" s="2" t="s">
        <v>401</v>
      </c>
      <c r="AB40" s="2" t="s">
        <v>402</v>
      </c>
      <c r="AE40" s="10">
        <v>-287861</v>
      </c>
      <c r="AI40" s="2" t="s">
        <v>392</v>
      </c>
      <c r="AK40" s="2" t="s">
        <v>605</v>
      </c>
      <c r="AO40" s="2" t="s">
        <v>1175</v>
      </c>
      <c r="AP40" s="2" t="s">
        <v>606</v>
      </c>
      <c r="AQ40" s="2" t="s">
        <v>528</v>
      </c>
      <c r="AR40" s="2" t="s">
        <v>410</v>
      </c>
      <c r="AT40" s="2" t="s">
        <v>393</v>
      </c>
      <c r="AV40" s="10">
        <v>45768</v>
      </c>
      <c r="AW40" s="10">
        <v>-287861</v>
      </c>
      <c r="AX40" s="57" t="s">
        <v>409</v>
      </c>
      <c r="AY40" s="2" t="s">
        <v>1128</v>
      </c>
      <c r="AZ40" s="2" t="s">
        <v>409</v>
      </c>
      <c r="BB40" s="10">
        <v>45754.628379629627</v>
      </c>
      <c r="BC40" s="10">
        <v>45764.673321759263</v>
      </c>
      <c r="BD40" s="2" t="s">
        <v>1129</v>
      </c>
      <c r="BE40" s="2" t="s">
        <v>586</v>
      </c>
      <c r="BG40" s="2" t="s">
        <v>1570</v>
      </c>
      <c r="BH40" s="2" t="s">
        <v>1567</v>
      </c>
      <c r="BI40" s="2" t="s">
        <v>1571</v>
      </c>
    </row>
    <row r="41" spans="1:61" ht="39.75" customHeight="1">
      <c r="A41" s="2">
        <v>496</v>
      </c>
      <c r="B41" s="2" t="s">
        <v>1132</v>
      </c>
      <c r="C41" s="2" t="s">
        <v>1133</v>
      </c>
      <c r="E41" s="2" t="s">
        <v>404</v>
      </c>
      <c r="F41" s="2" t="s">
        <v>405</v>
      </c>
      <c r="G41" s="10">
        <v>45755</v>
      </c>
      <c r="I41" s="2" t="s">
        <v>1134</v>
      </c>
      <c r="J41" s="2" t="s">
        <v>1135</v>
      </c>
      <c r="K41" s="2" t="s">
        <v>54</v>
      </c>
      <c r="L41" s="2" t="s">
        <v>1195</v>
      </c>
      <c r="M41" s="2" t="s">
        <v>385</v>
      </c>
      <c r="N41" s="10" t="s">
        <v>126</v>
      </c>
      <c r="P41" s="2" t="s">
        <v>1136</v>
      </c>
      <c r="Q41" s="10" t="s">
        <v>1137</v>
      </c>
      <c r="R41" s="2" t="s">
        <v>422</v>
      </c>
      <c r="S41" s="10">
        <v>45695</v>
      </c>
      <c r="T41" s="2" t="s">
        <v>1138</v>
      </c>
      <c r="U41" s="10" t="s">
        <v>1139</v>
      </c>
      <c r="X41" s="10">
        <v>45754</v>
      </c>
      <c r="Y41" s="2" t="s">
        <v>387</v>
      </c>
      <c r="Z41" s="2" t="s">
        <v>388</v>
      </c>
      <c r="AA41" s="2" t="s">
        <v>389</v>
      </c>
      <c r="AB41" s="2" t="s">
        <v>402</v>
      </c>
      <c r="AD41" s="2" t="s">
        <v>535</v>
      </c>
      <c r="AE41" s="10">
        <v>-287861</v>
      </c>
      <c r="AH41" s="2" t="s">
        <v>391</v>
      </c>
      <c r="AK41" s="2" t="s">
        <v>1196</v>
      </c>
      <c r="AO41" s="2" t="s">
        <v>1197</v>
      </c>
      <c r="AP41" s="2" t="s">
        <v>604</v>
      </c>
      <c r="AQ41" s="2" t="s">
        <v>1198</v>
      </c>
      <c r="AR41" s="2" t="s">
        <v>395</v>
      </c>
      <c r="AS41" s="2" t="s">
        <v>1199</v>
      </c>
      <c r="AT41" s="2" t="s">
        <v>546</v>
      </c>
      <c r="AU41" s="2" t="s">
        <v>396</v>
      </c>
      <c r="AV41" s="10">
        <v>45770</v>
      </c>
      <c r="AW41" s="10">
        <v>-287861</v>
      </c>
      <c r="AX41" s="57" t="s">
        <v>397</v>
      </c>
      <c r="AY41" s="2" t="s">
        <v>1200</v>
      </c>
      <c r="AZ41" s="2" t="s">
        <v>409</v>
      </c>
      <c r="BB41" s="10">
        <v>45756.632094907407</v>
      </c>
      <c r="BC41" s="10">
        <v>45772.655578703707</v>
      </c>
      <c r="BD41" s="2" t="s">
        <v>1201</v>
      </c>
      <c r="BE41" s="2" t="s">
        <v>586</v>
      </c>
      <c r="BG41" s="2" t="s">
        <v>1570</v>
      </c>
      <c r="BH41" s="2" t="s">
        <v>1567</v>
      </c>
      <c r="BI41" s="2" t="s">
        <v>1571</v>
      </c>
    </row>
    <row r="42" spans="1:61" ht="39.75" customHeight="1">
      <c r="A42" s="2">
        <v>498</v>
      </c>
      <c r="B42" s="2" t="s">
        <v>1140</v>
      </c>
      <c r="E42" s="2" t="s">
        <v>404</v>
      </c>
      <c r="F42" s="2" t="s">
        <v>329</v>
      </c>
      <c r="G42" s="10">
        <v>45757</v>
      </c>
      <c r="H42" s="2" t="s">
        <v>1141</v>
      </c>
      <c r="I42" s="2" t="s">
        <v>1142</v>
      </c>
      <c r="J42" s="2" t="s">
        <v>1142</v>
      </c>
      <c r="K42" s="2" t="s">
        <v>54</v>
      </c>
      <c r="L42" s="2" t="s">
        <v>1176</v>
      </c>
      <c r="M42" s="2" t="s">
        <v>385</v>
      </c>
      <c r="N42" s="10" t="s">
        <v>117</v>
      </c>
      <c r="O42" s="2" t="s">
        <v>1143</v>
      </c>
      <c r="P42" s="2" t="s">
        <v>1130</v>
      </c>
      <c r="Q42" s="10" t="s">
        <v>1131</v>
      </c>
      <c r="R42" s="2" t="s">
        <v>1144</v>
      </c>
      <c r="S42" s="10">
        <v>-287861</v>
      </c>
      <c r="T42" s="2" t="s">
        <v>1145</v>
      </c>
      <c r="U42" s="10" t="s">
        <v>1146</v>
      </c>
      <c r="W42" s="2" t="s">
        <v>1147</v>
      </c>
      <c r="X42" s="10">
        <v>45755</v>
      </c>
      <c r="Y42" s="2" t="s">
        <v>387</v>
      </c>
      <c r="Z42" s="2" t="s">
        <v>388</v>
      </c>
      <c r="AA42" s="2" t="s">
        <v>389</v>
      </c>
      <c r="AB42" s="2" t="s">
        <v>402</v>
      </c>
      <c r="AD42" s="2" t="s">
        <v>535</v>
      </c>
      <c r="AE42" s="10">
        <v>-287861</v>
      </c>
      <c r="AH42" s="2" t="s">
        <v>403</v>
      </c>
      <c r="AK42" s="2" t="s">
        <v>1148</v>
      </c>
      <c r="AO42" s="2" t="s">
        <v>1177</v>
      </c>
      <c r="AP42" s="2" t="s">
        <v>604</v>
      </c>
      <c r="AR42" s="2" t="s">
        <v>395</v>
      </c>
      <c r="AS42" s="2" t="s">
        <v>1178</v>
      </c>
      <c r="AT42" s="2" t="s">
        <v>696</v>
      </c>
      <c r="AU42" s="2" t="s">
        <v>396</v>
      </c>
      <c r="AV42" s="10">
        <v>45765</v>
      </c>
      <c r="AW42" s="10">
        <v>-287861</v>
      </c>
      <c r="AX42" s="57" t="s">
        <v>397</v>
      </c>
      <c r="AY42" s="2" t="s">
        <v>1179</v>
      </c>
      <c r="AZ42" s="2" t="s">
        <v>409</v>
      </c>
      <c r="BB42" s="10">
        <v>45758.418287037035</v>
      </c>
      <c r="BC42" s="10">
        <v>45769.729467592595</v>
      </c>
      <c r="BD42" s="2" t="s">
        <v>1180</v>
      </c>
      <c r="BE42" s="2" t="s">
        <v>586</v>
      </c>
      <c r="BG42" s="2" t="s">
        <v>1570</v>
      </c>
      <c r="BH42" s="2" t="s">
        <v>1567</v>
      </c>
      <c r="BI42" s="2" t="s">
        <v>1571</v>
      </c>
    </row>
    <row r="43" spans="1:61" ht="39.75" customHeight="1">
      <c r="A43" s="2">
        <v>499</v>
      </c>
      <c r="B43" s="2" t="s">
        <v>1149</v>
      </c>
      <c r="E43" s="2" t="s">
        <v>404</v>
      </c>
      <c r="F43" s="2" t="s">
        <v>329</v>
      </c>
      <c r="G43" s="10">
        <v>45757</v>
      </c>
      <c r="H43" s="2" t="s">
        <v>597</v>
      </c>
      <c r="I43" s="2" t="s">
        <v>595</v>
      </c>
      <c r="J43" s="2" t="s">
        <v>596</v>
      </c>
      <c r="K43" s="2" t="s">
        <v>54</v>
      </c>
      <c r="L43" s="2" t="s">
        <v>1202</v>
      </c>
      <c r="M43" s="2" t="s">
        <v>398</v>
      </c>
      <c r="O43" s="2" t="s">
        <v>1048</v>
      </c>
      <c r="P43" s="2" t="s">
        <v>1150</v>
      </c>
      <c r="Q43" s="10" t="s">
        <v>1151</v>
      </c>
      <c r="R43" s="2" t="s">
        <v>1152</v>
      </c>
      <c r="S43" s="10">
        <v>-287861</v>
      </c>
      <c r="T43" s="2" t="s">
        <v>1153</v>
      </c>
      <c r="U43" s="10" t="s">
        <v>1154</v>
      </c>
      <c r="X43" s="10">
        <v>45756</v>
      </c>
      <c r="Y43" s="2" t="s">
        <v>399</v>
      </c>
      <c r="Z43" s="2" t="s">
        <v>407</v>
      </c>
      <c r="AA43" s="2" t="s">
        <v>407</v>
      </c>
      <c r="AB43" s="2" t="s">
        <v>402</v>
      </c>
      <c r="AD43" s="2" t="s">
        <v>541</v>
      </c>
      <c r="AE43" s="10">
        <v>-287861</v>
      </c>
      <c r="AH43" s="2" t="s">
        <v>391</v>
      </c>
      <c r="AI43" s="2" t="s">
        <v>392</v>
      </c>
      <c r="AK43" s="2" t="s">
        <v>1203</v>
      </c>
      <c r="AO43" s="2" t="s">
        <v>1204</v>
      </c>
      <c r="AP43" s="2" t="s">
        <v>585</v>
      </c>
      <c r="AQ43" s="2" t="s">
        <v>1205</v>
      </c>
      <c r="AR43" s="2" t="s">
        <v>421</v>
      </c>
      <c r="AS43" s="2" t="s">
        <v>1206</v>
      </c>
      <c r="AT43" s="2" t="s">
        <v>393</v>
      </c>
      <c r="AU43" s="2" t="s">
        <v>396</v>
      </c>
      <c r="AV43" s="10">
        <v>-287861</v>
      </c>
      <c r="AW43" s="10">
        <v>-287861</v>
      </c>
      <c r="AX43" s="57" t="s">
        <v>397</v>
      </c>
      <c r="AY43" s="2" t="s">
        <v>1207</v>
      </c>
      <c r="AZ43" s="2" t="s">
        <v>409</v>
      </c>
      <c r="BB43" s="10">
        <v>45758.429583333331</v>
      </c>
      <c r="BC43" s="10">
        <v>45777.449016203704</v>
      </c>
      <c r="BD43" s="2" t="s">
        <v>1155</v>
      </c>
      <c r="BE43" s="2" t="s">
        <v>585</v>
      </c>
      <c r="BF43" s="2" t="s">
        <v>930</v>
      </c>
      <c r="BG43" s="2" t="s">
        <v>1570</v>
      </c>
      <c r="BH43" s="2" t="s">
        <v>1567</v>
      </c>
      <c r="BI43" s="2" t="s">
        <v>1571</v>
      </c>
    </row>
    <row r="44" spans="1:61" ht="39.75" customHeight="1">
      <c r="A44" s="2">
        <v>501</v>
      </c>
      <c r="B44" s="2" t="s">
        <v>1156</v>
      </c>
      <c r="F44" s="2" t="s">
        <v>828</v>
      </c>
      <c r="G44" s="10">
        <v>45761</v>
      </c>
      <c r="H44" s="2" t="s">
        <v>1157</v>
      </c>
      <c r="I44" s="2" t="s">
        <v>732</v>
      </c>
      <c r="K44" s="2" t="s">
        <v>54</v>
      </c>
      <c r="L44" s="2" t="s">
        <v>1208</v>
      </c>
      <c r="M44" s="2" t="s">
        <v>385</v>
      </c>
      <c r="N44" s="10" t="s">
        <v>123</v>
      </c>
      <c r="O44" s="2" t="s">
        <v>424</v>
      </c>
      <c r="P44" s="2" t="s">
        <v>1158</v>
      </c>
      <c r="Q44" s="10" t="s">
        <v>1159</v>
      </c>
      <c r="R44" s="2" t="s">
        <v>1160</v>
      </c>
      <c r="S44" s="10">
        <v>-287861</v>
      </c>
      <c r="T44" s="2" t="s">
        <v>1161</v>
      </c>
      <c r="U44" s="10" t="s">
        <v>1162</v>
      </c>
      <c r="V44" s="2" t="s">
        <v>1163</v>
      </c>
      <c r="X44" s="10">
        <v>45761</v>
      </c>
      <c r="Y44" s="2" t="s">
        <v>387</v>
      </c>
      <c r="Z44" s="2" t="s">
        <v>388</v>
      </c>
      <c r="AA44" s="2" t="s">
        <v>389</v>
      </c>
      <c r="AB44" s="2" t="s">
        <v>402</v>
      </c>
      <c r="AD44" s="2" t="s">
        <v>535</v>
      </c>
      <c r="AE44" s="10">
        <v>-287861</v>
      </c>
      <c r="AH44" s="2" t="s">
        <v>403</v>
      </c>
      <c r="AK44" s="2" t="s">
        <v>1181</v>
      </c>
      <c r="AO44" s="2" t="s">
        <v>1209</v>
      </c>
      <c r="AP44" s="2" t="s">
        <v>604</v>
      </c>
      <c r="AR44" s="2" t="s">
        <v>395</v>
      </c>
      <c r="AS44" s="2" t="s">
        <v>1210</v>
      </c>
      <c r="AT44" s="2" t="s">
        <v>696</v>
      </c>
      <c r="AU44" s="2" t="s">
        <v>396</v>
      </c>
      <c r="AV44" s="10">
        <v>45768</v>
      </c>
      <c r="AW44" s="10">
        <v>-287861</v>
      </c>
      <c r="AX44" s="57" t="s">
        <v>397</v>
      </c>
      <c r="AY44" s="2" t="s">
        <v>1211</v>
      </c>
      <c r="AZ44" s="2" t="s">
        <v>838</v>
      </c>
      <c r="BB44" s="10">
        <v>45761.611631944441</v>
      </c>
      <c r="BC44" s="10">
        <v>45772.658935185187</v>
      </c>
      <c r="BD44" s="2" t="s">
        <v>1212</v>
      </c>
      <c r="BE44" s="2" t="s">
        <v>586</v>
      </c>
      <c r="BG44" s="2" t="s">
        <v>1570</v>
      </c>
      <c r="BH44" s="2" t="s">
        <v>1567</v>
      </c>
      <c r="BI44" s="2" t="s">
        <v>1571</v>
      </c>
    </row>
    <row r="45" spans="1:61" ht="39.75" customHeight="1">
      <c r="A45" s="2">
        <v>503</v>
      </c>
      <c r="B45" s="2" t="s">
        <v>1213</v>
      </c>
      <c r="C45" s="2" t="s">
        <v>827</v>
      </c>
      <c r="F45" s="2" t="s">
        <v>828</v>
      </c>
      <c r="G45" s="10">
        <v>45645</v>
      </c>
      <c r="H45" s="2" t="s">
        <v>829</v>
      </c>
      <c r="I45" s="2" t="s">
        <v>830</v>
      </c>
      <c r="J45" s="2" t="s">
        <v>831</v>
      </c>
      <c r="L45" s="2" t="s">
        <v>529</v>
      </c>
      <c r="M45" s="2" t="s">
        <v>385</v>
      </c>
      <c r="O45" s="2" t="s">
        <v>832</v>
      </c>
      <c r="P45" s="2" t="s">
        <v>833</v>
      </c>
      <c r="Q45" s="10" t="s">
        <v>834</v>
      </c>
      <c r="R45" s="2" t="s">
        <v>422</v>
      </c>
      <c r="S45" s="10">
        <v>-287861</v>
      </c>
      <c r="T45" s="2" t="s">
        <v>835</v>
      </c>
      <c r="U45" s="10" t="s">
        <v>836</v>
      </c>
      <c r="V45" s="2" t="s">
        <v>837</v>
      </c>
      <c r="W45" s="2" t="s">
        <v>1190</v>
      </c>
      <c r="X45" s="10">
        <v>-287861</v>
      </c>
      <c r="AB45" s="2" t="s">
        <v>775</v>
      </c>
      <c r="AE45" s="10">
        <v>-287861</v>
      </c>
      <c r="AJ45" s="2" t="s">
        <v>1167</v>
      </c>
      <c r="AK45" s="2" t="s">
        <v>1168</v>
      </c>
      <c r="AO45" s="2" t="s">
        <v>1169</v>
      </c>
      <c r="AP45" s="2" t="s">
        <v>606</v>
      </c>
      <c r="AQ45" s="2" t="s">
        <v>1170</v>
      </c>
      <c r="AR45" s="2" t="s">
        <v>840</v>
      </c>
      <c r="AS45" s="2" t="s">
        <v>1171</v>
      </c>
      <c r="AT45" s="2" t="s">
        <v>841</v>
      </c>
      <c r="AV45" s="10">
        <v>-287861</v>
      </c>
      <c r="AW45" s="10">
        <v>-287861</v>
      </c>
      <c r="BA45" s="2" t="s">
        <v>842</v>
      </c>
      <c r="BB45" s="10">
        <v>45763.730543981481</v>
      </c>
      <c r="BC45" s="10">
        <v>45772.371481481481</v>
      </c>
      <c r="BD45" s="2" t="s">
        <v>839</v>
      </c>
      <c r="BE45" s="2" t="s">
        <v>585</v>
      </c>
      <c r="BG45" s="2" t="s">
        <v>1572</v>
      </c>
      <c r="BH45" s="2" t="s">
        <v>1567</v>
      </c>
      <c r="BI45" s="2" t="s">
        <v>1573</v>
      </c>
    </row>
    <row r="46" spans="1:61" ht="39.75" customHeight="1">
      <c r="A46" s="2">
        <v>504</v>
      </c>
      <c r="B46" s="2" t="s">
        <v>1182</v>
      </c>
      <c r="E46" s="2" t="s">
        <v>404</v>
      </c>
      <c r="F46" s="2" t="s">
        <v>329</v>
      </c>
      <c r="G46" s="10">
        <v>45765</v>
      </c>
      <c r="H46" s="2" t="s">
        <v>581</v>
      </c>
      <c r="I46" s="2" t="s">
        <v>411</v>
      </c>
      <c r="K46" s="2" t="s">
        <v>54</v>
      </c>
      <c r="L46" s="2" t="s">
        <v>529</v>
      </c>
      <c r="M46" s="2" t="s">
        <v>398</v>
      </c>
      <c r="N46" s="10" t="s">
        <v>145</v>
      </c>
      <c r="O46" s="2" t="s">
        <v>1183</v>
      </c>
      <c r="P46" s="2" t="s">
        <v>412</v>
      </c>
      <c r="Q46" s="10" t="s">
        <v>413</v>
      </c>
      <c r="R46" s="2" t="s">
        <v>1184</v>
      </c>
      <c r="S46" s="10">
        <v>-287861</v>
      </c>
      <c r="T46" s="2" t="s">
        <v>1185</v>
      </c>
      <c r="U46" s="10" t="s">
        <v>1186</v>
      </c>
      <c r="W46" s="2" t="s">
        <v>416</v>
      </c>
      <c r="X46" s="10">
        <v>45565</v>
      </c>
      <c r="Y46" s="2" t="s">
        <v>399</v>
      </c>
      <c r="Z46" s="2" t="s">
        <v>400</v>
      </c>
      <c r="AA46" s="2" t="s">
        <v>401</v>
      </c>
      <c r="AB46" s="2" t="s">
        <v>402</v>
      </c>
      <c r="AE46" s="10">
        <v>-287861</v>
      </c>
      <c r="AI46" s="2" t="s">
        <v>392</v>
      </c>
      <c r="AK46" s="2" t="s">
        <v>605</v>
      </c>
      <c r="AO46" s="2" t="s">
        <v>1214</v>
      </c>
      <c r="AP46" s="2" t="s">
        <v>606</v>
      </c>
      <c r="AQ46" s="2" t="s">
        <v>528</v>
      </c>
      <c r="AR46" s="2" t="s">
        <v>410</v>
      </c>
      <c r="AS46" s="2" t="s">
        <v>1215</v>
      </c>
      <c r="AT46" s="2" t="s">
        <v>393</v>
      </c>
      <c r="AU46" s="2" t="s">
        <v>396</v>
      </c>
      <c r="AV46" s="10">
        <v>45785</v>
      </c>
      <c r="AW46" s="10">
        <v>-287861</v>
      </c>
      <c r="AX46" s="57" t="s">
        <v>409</v>
      </c>
      <c r="AY46" s="2" t="s">
        <v>1187</v>
      </c>
      <c r="AZ46" s="2" t="s">
        <v>409</v>
      </c>
      <c r="BB46" s="10">
        <v>45768.676342592589</v>
      </c>
      <c r="BC46" s="10">
        <v>45798.48605324074</v>
      </c>
      <c r="BD46" s="2" t="s">
        <v>1188</v>
      </c>
      <c r="BE46" s="2" t="s">
        <v>586</v>
      </c>
      <c r="BG46" s="2" t="s">
        <v>1570</v>
      </c>
      <c r="BH46" s="2" t="s">
        <v>1567</v>
      </c>
      <c r="BI46" s="2" t="s">
        <v>1571</v>
      </c>
    </row>
    <row r="47" spans="1:61" ht="39.75" customHeight="1">
      <c r="A47" s="2">
        <v>506</v>
      </c>
      <c r="B47" s="2" t="s">
        <v>1223</v>
      </c>
      <c r="C47" s="2" t="s">
        <v>1224</v>
      </c>
      <c r="E47" s="2" t="s">
        <v>383</v>
      </c>
      <c r="F47" s="2" t="s">
        <v>384</v>
      </c>
      <c r="G47" s="10">
        <v>45775</v>
      </c>
      <c r="I47" s="2" t="s">
        <v>1225</v>
      </c>
      <c r="J47" s="2" t="s">
        <v>1226</v>
      </c>
      <c r="K47" s="2" t="s">
        <v>54</v>
      </c>
      <c r="L47" s="2" t="s">
        <v>1227</v>
      </c>
      <c r="M47" s="2" t="s">
        <v>385</v>
      </c>
      <c r="N47" s="10" t="s">
        <v>120</v>
      </c>
      <c r="O47" s="2" t="s">
        <v>1228</v>
      </c>
      <c r="P47" s="2" t="s">
        <v>1229</v>
      </c>
      <c r="Q47" s="10" t="s">
        <v>1230</v>
      </c>
      <c r="R47" s="2" t="s">
        <v>1231</v>
      </c>
      <c r="S47" s="10">
        <v>45405</v>
      </c>
      <c r="T47" s="2" t="s">
        <v>1232</v>
      </c>
      <c r="U47" s="10" t="s">
        <v>1233</v>
      </c>
      <c r="X47" s="10">
        <v>45770</v>
      </c>
      <c r="Y47" s="2" t="s">
        <v>387</v>
      </c>
      <c r="Z47" s="2" t="s">
        <v>388</v>
      </c>
      <c r="AA47" s="2" t="s">
        <v>389</v>
      </c>
      <c r="AB47" s="2" t="s">
        <v>402</v>
      </c>
      <c r="AD47" s="2" t="s">
        <v>535</v>
      </c>
      <c r="AE47" s="10">
        <v>-287861</v>
      </c>
      <c r="AH47" s="2" t="s">
        <v>403</v>
      </c>
      <c r="AK47" s="2" t="s">
        <v>1234</v>
      </c>
      <c r="AO47" s="2" t="s">
        <v>1235</v>
      </c>
      <c r="AP47" s="2" t="s">
        <v>604</v>
      </c>
      <c r="AR47" s="2" t="s">
        <v>395</v>
      </c>
      <c r="AS47" s="2" t="s">
        <v>1236</v>
      </c>
      <c r="AT47" s="2" t="s">
        <v>696</v>
      </c>
      <c r="AU47" s="2" t="s">
        <v>396</v>
      </c>
      <c r="AV47" s="10">
        <v>45793</v>
      </c>
      <c r="AW47" s="10">
        <v>-287861</v>
      </c>
      <c r="AX47" s="57" t="s">
        <v>397</v>
      </c>
      <c r="AY47" s="2" t="s">
        <v>1237</v>
      </c>
      <c r="AZ47" s="2" t="s">
        <v>515</v>
      </c>
      <c r="BB47" s="10">
        <v>45775.554918981485</v>
      </c>
      <c r="BC47" s="10">
        <v>45790.732824074075</v>
      </c>
      <c r="BD47" s="2" t="s">
        <v>1238</v>
      </c>
      <c r="BE47" s="2" t="s">
        <v>586</v>
      </c>
      <c r="BG47" s="2" t="s">
        <v>1570</v>
      </c>
      <c r="BH47" s="2" t="s">
        <v>1567</v>
      </c>
      <c r="BI47" s="2" t="s">
        <v>1571</v>
      </c>
    </row>
    <row r="48" spans="1:61" ht="39.75" customHeight="1">
      <c r="A48" s="2">
        <v>507</v>
      </c>
      <c r="B48" s="2" t="s">
        <v>1239</v>
      </c>
      <c r="E48" s="2" t="s">
        <v>383</v>
      </c>
      <c r="F48" s="2" t="s">
        <v>1031</v>
      </c>
      <c r="G48" s="10">
        <v>45775</v>
      </c>
      <c r="H48" s="2" t="s">
        <v>1000</v>
      </c>
      <c r="I48" s="2" t="s">
        <v>1164</v>
      </c>
      <c r="J48" s="2" t="s">
        <v>1240</v>
      </c>
      <c r="K48" s="2" t="s">
        <v>54</v>
      </c>
      <c r="L48" s="2" t="s">
        <v>1241</v>
      </c>
      <c r="M48" s="2" t="s">
        <v>385</v>
      </c>
      <c r="N48" s="10" t="s">
        <v>123</v>
      </c>
      <c r="O48" s="2" t="s">
        <v>1242</v>
      </c>
      <c r="P48" s="2" t="s">
        <v>1243</v>
      </c>
      <c r="Q48" s="10" t="s">
        <v>1244</v>
      </c>
      <c r="R48" s="2" t="s">
        <v>1245</v>
      </c>
      <c r="S48" s="10">
        <v>-287861</v>
      </c>
      <c r="T48" s="2" t="s">
        <v>1246</v>
      </c>
      <c r="U48" s="10" t="s">
        <v>1247</v>
      </c>
      <c r="V48" s="2" t="s">
        <v>1248</v>
      </c>
      <c r="X48" s="10">
        <v>45758</v>
      </c>
      <c r="Y48" s="2" t="s">
        <v>387</v>
      </c>
      <c r="Z48" s="2" t="s">
        <v>388</v>
      </c>
      <c r="AA48" s="2" t="s">
        <v>389</v>
      </c>
      <c r="AB48" s="2" t="s">
        <v>402</v>
      </c>
      <c r="AD48" s="2" t="s">
        <v>535</v>
      </c>
      <c r="AE48" s="10">
        <v>-287861</v>
      </c>
      <c r="AH48" s="2" t="s">
        <v>403</v>
      </c>
      <c r="AK48" s="2" t="s">
        <v>1249</v>
      </c>
      <c r="AO48" s="2" t="s">
        <v>1250</v>
      </c>
      <c r="AP48" s="2" t="s">
        <v>604</v>
      </c>
      <c r="AR48" s="2" t="s">
        <v>395</v>
      </c>
      <c r="AS48" s="2" t="s">
        <v>1251</v>
      </c>
      <c r="AT48" s="2" t="s">
        <v>696</v>
      </c>
      <c r="AU48" s="2" t="s">
        <v>396</v>
      </c>
      <c r="AV48" s="10">
        <v>45792</v>
      </c>
      <c r="AW48" s="10">
        <v>-287861</v>
      </c>
      <c r="AX48" s="57" t="s">
        <v>397</v>
      </c>
      <c r="AY48" s="2" t="s">
        <v>1252</v>
      </c>
      <c r="AZ48" s="2" t="s">
        <v>1014</v>
      </c>
      <c r="BB48" s="10">
        <v>45775.695763888885</v>
      </c>
      <c r="BC48" s="10">
        <v>45790.718946759262</v>
      </c>
      <c r="BD48" s="2" t="s">
        <v>1253</v>
      </c>
      <c r="BE48" s="2" t="s">
        <v>586</v>
      </c>
      <c r="BG48" s="2" t="s">
        <v>1570</v>
      </c>
      <c r="BH48" s="2" t="s">
        <v>1567</v>
      </c>
      <c r="BI48" s="2" t="s">
        <v>1571</v>
      </c>
    </row>
    <row r="49" spans="1:61" ht="39.75" customHeight="1">
      <c r="A49" s="2">
        <v>508</v>
      </c>
      <c r="B49" s="2" t="s">
        <v>1254</v>
      </c>
      <c r="F49" s="2" t="s">
        <v>828</v>
      </c>
      <c r="G49" s="10">
        <v>45785</v>
      </c>
      <c r="H49" s="2" t="s">
        <v>1255</v>
      </c>
      <c r="I49" s="2" t="s">
        <v>1256</v>
      </c>
      <c r="K49" s="2" t="s">
        <v>54</v>
      </c>
      <c r="L49" s="2" t="s">
        <v>1257</v>
      </c>
      <c r="M49" s="2" t="s">
        <v>385</v>
      </c>
      <c r="O49" s="2" t="s">
        <v>1258</v>
      </c>
      <c r="P49" s="2" t="s">
        <v>1259</v>
      </c>
      <c r="Q49" s="10" t="s">
        <v>1260</v>
      </c>
      <c r="R49" s="2" t="s">
        <v>1261</v>
      </c>
      <c r="S49" s="10">
        <v>-287861</v>
      </c>
      <c r="T49" s="2" t="s">
        <v>1262</v>
      </c>
      <c r="U49" s="10" t="s">
        <v>1263</v>
      </c>
      <c r="X49" s="10">
        <v>-287861</v>
      </c>
      <c r="Y49" s="2" t="s">
        <v>387</v>
      </c>
      <c r="AA49" s="2" t="s">
        <v>389</v>
      </c>
      <c r="AB49" s="2" t="s">
        <v>402</v>
      </c>
      <c r="AD49" s="2" t="s">
        <v>535</v>
      </c>
      <c r="AE49" s="10">
        <v>-287861</v>
      </c>
      <c r="AH49" s="2" t="s">
        <v>403</v>
      </c>
      <c r="AK49" s="2" t="s">
        <v>1264</v>
      </c>
      <c r="AO49" s="2" t="s">
        <v>1265</v>
      </c>
      <c r="AP49" s="2" t="s">
        <v>604</v>
      </c>
      <c r="AR49" s="2" t="s">
        <v>395</v>
      </c>
      <c r="AS49" s="2" t="s">
        <v>1266</v>
      </c>
      <c r="AT49" s="2" t="s">
        <v>696</v>
      </c>
      <c r="AU49" s="2" t="s">
        <v>396</v>
      </c>
      <c r="AV49" s="10">
        <v>45809</v>
      </c>
      <c r="AW49" s="10">
        <v>-287861</v>
      </c>
      <c r="AX49" s="57" t="s">
        <v>397</v>
      </c>
      <c r="AY49" s="2" t="s">
        <v>1267</v>
      </c>
      <c r="AZ49" s="2" t="s">
        <v>838</v>
      </c>
      <c r="BB49" s="10">
        <v>45785.689918981479</v>
      </c>
      <c r="BC49" s="10">
        <v>45804.450613425928</v>
      </c>
      <c r="BD49" s="2" t="s">
        <v>1268</v>
      </c>
      <c r="BE49" s="2" t="s">
        <v>586</v>
      </c>
      <c r="BG49" s="2" t="s">
        <v>1570</v>
      </c>
      <c r="BH49" s="2" t="s">
        <v>1567</v>
      </c>
      <c r="BI49" s="2" t="s">
        <v>1571</v>
      </c>
    </row>
    <row r="50" spans="1:61" ht="39.75" customHeight="1">
      <c r="A50" s="2">
        <v>512</v>
      </c>
      <c r="B50" s="2" t="s">
        <v>1273</v>
      </c>
      <c r="E50" s="2" t="s">
        <v>379</v>
      </c>
      <c r="F50" s="2" t="s">
        <v>1031</v>
      </c>
      <c r="G50" s="10">
        <v>45789</v>
      </c>
      <c r="H50" s="2" t="s">
        <v>1269</v>
      </c>
      <c r="I50" s="2" t="s">
        <v>1270</v>
      </c>
      <c r="K50" s="2" t="s">
        <v>54</v>
      </c>
      <c r="L50" s="2" t="s">
        <v>529</v>
      </c>
      <c r="M50" s="2" t="s">
        <v>385</v>
      </c>
      <c r="N50" s="10" t="s">
        <v>117</v>
      </c>
      <c r="O50" s="2" t="s">
        <v>1274</v>
      </c>
      <c r="P50" s="2" t="s">
        <v>1275</v>
      </c>
      <c r="Q50" s="10" t="s">
        <v>1276</v>
      </c>
      <c r="R50" s="2" t="s">
        <v>1277</v>
      </c>
      <c r="S50" s="10">
        <v>45405</v>
      </c>
      <c r="T50" s="2" t="s">
        <v>1278</v>
      </c>
      <c r="U50" s="10" t="s">
        <v>1271</v>
      </c>
      <c r="V50" s="2" t="s">
        <v>1272</v>
      </c>
      <c r="X50" s="10">
        <v>45790</v>
      </c>
      <c r="Y50" s="2" t="s">
        <v>387</v>
      </c>
      <c r="Z50" s="2" t="s">
        <v>388</v>
      </c>
      <c r="AA50" s="2" t="s">
        <v>389</v>
      </c>
      <c r="AB50" s="2" t="s">
        <v>402</v>
      </c>
      <c r="AE50" s="10">
        <v>-287861</v>
      </c>
      <c r="AV50" s="10">
        <v>45797</v>
      </c>
      <c r="AW50" s="10">
        <v>-287861</v>
      </c>
      <c r="AX50" s="57" t="s">
        <v>1014</v>
      </c>
      <c r="AY50" s="2" t="s">
        <v>1279</v>
      </c>
      <c r="AZ50" s="2" t="s">
        <v>1014</v>
      </c>
      <c r="BA50" s="2" t="s">
        <v>1280</v>
      </c>
      <c r="BB50" s="10">
        <v>45790.709618055553</v>
      </c>
      <c r="BC50" s="10">
        <v>45833.439675925925</v>
      </c>
      <c r="BD50" s="2" t="s">
        <v>1281</v>
      </c>
      <c r="BE50" s="2" t="s">
        <v>586</v>
      </c>
      <c r="BG50" s="2" t="s">
        <v>1570</v>
      </c>
      <c r="BH50" s="2" t="s">
        <v>1567</v>
      </c>
      <c r="BI50" s="2" t="s">
        <v>1571</v>
      </c>
    </row>
    <row r="51" spans="1:61" ht="39.75" customHeight="1">
      <c r="A51" s="2">
        <v>513</v>
      </c>
      <c r="B51" s="2" t="s">
        <v>1500</v>
      </c>
      <c r="C51" s="2" t="s">
        <v>1282</v>
      </c>
      <c r="E51" s="2" t="s">
        <v>1283</v>
      </c>
      <c r="F51" s="2" t="s">
        <v>1284</v>
      </c>
      <c r="G51" s="10">
        <v>45791</v>
      </c>
      <c r="H51" s="2" t="s">
        <v>713</v>
      </c>
      <c r="I51" s="2" t="s">
        <v>1285</v>
      </c>
      <c r="J51" s="2" t="s">
        <v>1286</v>
      </c>
      <c r="L51" s="2" t="s">
        <v>529</v>
      </c>
      <c r="M51" s="2" t="s">
        <v>594</v>
      </c>
      <c r="N51" s="10" t="s">
        <v>594</v>
      </c>
      <c r="O51" s="2" t="s">
        <v>1287</v>
      </c>
      <c r="P51" s="2" t="s">
        <v>1288</v>
      </c>
      <c r="Q51" s="10" t="s">
        <v>1289</v>
      </c>
      <c r="R51" s="2" t="s">
        <v>422</v>
      </c>
      <c r="S51" s="10">
        <v>45790</v>
      </c>
      <c r="T51" s="2" t="s">
        <v>1290</v>
      </c>
      <c r="U51" s="10" t="s">
        <v>1291</v>
      </c>
      <c r="X51" s="10">
        <v>45791</v>
      </c>
      <c r="Y51" s="2" t="s">
        <v>399</v>
      </c>
      <c r="Z51" s="2" t="s">
        <v>400</v>
      </c>
      <c r="AA51" s="2" t="s">
        <v>401</v>
      </c>
      <c r="AB51" s="2" t="s">
        <v>775</v>
      </c>
      <c r="AE51" s="10">
        <v>-287861</v>
      </c>
      <c r="AH51" s="2" t="s">
        <v>391</v>
      </c>
      <c r="AV51" s="10">
        <v>45805</v>
      </c>
      <c r="AW51" s="10">
        <v>-287861</v>
      </c>
      <c r="AX51" s="57" t="s">
        <v>1292</v>
      </c>
      <c r="AY51" s="2" t="s">
        <v>1293</v>
      </c>
      <c r="AZ51" s="2" t="s">
        <v>1292</v>
      </c>
      <c r="BB51" s="10">
        <v>45791.729583333334</v>
      </c>
      <c r="BC51" s="10">
        <v>45841.632384259261</v>
      </c>
      <c r="BD51" s="2" t="s">
        <v>1294</v>
      </c>
      <c r="BE51" s="2" t="s">
        <v>585</v>
      </c>
      <c r="BG51" s="2" t="s">
        <v>1572</v>
      </c>
      <c r="BH51" s="2" t="s">
        <v>1574</v>
      </c>
      <c r="BI51" s="2" t="s">
        <v>1573</v>
      </c>
    </row>
    <row r="52" spans="1:61" ht="39.75" customHeight="1">
      <c r="A52" s="2">
        <v>514</v>
      </c>
      <c r="B52" s="2" t="s">
        <v>1295</v>
      </c>
      <c r="E52" s="2" t="s">
        <v>404</v>
      </c>
      <c r="F52" s="2" t="s">
        <v>329</v>
      </c>
      <c r="G52" s="10">
        <v>45791</v>
      </c>
      <c r="H52" s="2" t="s">
        <v>581</v>
      </c>
      <c r="I52" s="2" t="s">
        <v>411</v>
      </c>
      <c r="J52" s="2" t="s">
        <v>1296</v>
      </c>
      <c r="K52" s="2" t="s">
        <v>54</v>
      </c>
      <c r="L52" s="2" t="s">
        <v>529</v>
      </c>
      <c r="M52" s="2" t="s">
        <v>398</v>
      </c>
      <c r="N52" s="10" t="s">
        <v>145</v>
      </c>
      <c r="O52" s="2" t="s">
        <v>386</v>
      </c>
      <c r="P52" s="2" t="s">
        <v>412</v>
      </c>
      <c r="Q52" s="10" t="s">
        <v>413</v>
      </c>
      <c r="R52" s="2" t="s">
        <v>1297</v>
      </c>
      <c r="S52" s="10">
        <v>-287861</v>
      </c>
      <c r="T52" s="2" t="s">
        <v>1298</v>
      </c>
      <c r="U52" s="10" t="s">
        <v>1299</v>
      </c>
      <c r="W52" s="2" t="s">
        <v>416</v>
      </c>
      <c r="X52" s="10">
        <v>45693</v>
      </c>
      <c r="Y52" s="2" t="s">
        <v>399</v>
      </c>
      <c r="Z52" s="2" t="s">
        <v>400</v>
      </c>
      <c r="AA52" s="2" t="s">
        <v>401</v>
      </c>
      <c r="AB52" s="2" t="s">
        <v>402</v>
      </c>
      <c r="AE52" s="10">
        <v>-287861</v>
      </c>
      <c r="AI52" s="2" t="s">
        <v>392</v>
      </c>
      <c r="AK52" s="2" t="s">
        <v>605</v>
      </c>
      <c r="AO52" s="2" t="s">
        <v>1300</v>
      </c>
      <c r="AP52" s="2" t="s">
        <v>606</v>
      </c>
      <c r="AQ52" s="2" t="s">
        <v>528</v>
      </c>
      <c r="AR52" s="2" t="s">
        <v>410</v>
      </c>
      <c r="AT52" s="2" t="s">
        <v>393</v>
      </c>
      <c r="AV52" s="10">
        <v>45806</v>
      </c>
      <c r="AW52" s="10">
        <v>-287861</v>
      </c>
      <c r="AX52" s="57" t="s">
        <v>409</v>
      </c>
      <c r="AY52" s="2" t="s">
        <v>1301</v>
      </c>
      <c r="AZ52" s="2" t="s">
        <v>409</v>
      </c>
      <c r="BB52" s="10">
        <v>45793.460300925923</v>
      </c>
      <c r="BC52" s="10">
        <v>45806.573587962965</v>
      </c>
      <c r="BD52" s="2" t="s">
        <v>1302</v>
      </c>
      <c r="BE52" s="2" t="s">
        <v>586</v>
      </c>
      <c r="BG52" s="2" t="s">
        <v>1570</v>
      </c>
      <c r="BH52" s="2" t="s">
        <v>1567</v>
      </c>
      <c r="BI52" s="2" t="s">
        <v>1571</v>
      </c>
    </row>
    <row r="53" spans="1:61" ht="39.75" customHeight="1">
      <c r="A53" s="2">
        <v>515</v>
      </c>
      <c r="B53" s="2" t="s">
        <v>1303</v>
      </c>
      <c r="F53" s="2" t="s">
        <v>828</v>
      </c>
      <c r="G53" s="10">
        <v>45798</v>
      </c>
      <c r="H53" s="2" t="s">
        <v>1304</v>
      </c>
      <c r="I53" s="2" t="s">
        <v>1305</v>
      </c>
      <c r="K53" s="2" t="s">
        <v>54</v>
      </c>
      <c r="L53" s="2" t="s">
        <v>1503</v>
      </c>
      <c r="M53" s="2" t="s">
        <v>385</v>
      </c>
      <c r="O53" s="2" t="s">
        <v>1306</v>
      </c>
      <c r="P53" s="2" t="s">
        <v>1307</v>
      </c>
      <c r="Q53" s="10" t="s">
        <v>1308</v>
      </c>
      <c r="R53" s="2" t="s">
        <v>1309</v>
      </c>
      <c r="S53" s="10">
        <v>-287861</v>
      </c>
      <c r="T53" s="2" t="s">
        <v>1310</v>
      </c>
      <c r="U53" s="10" t="s">
        <v>1311</v>
      </c>
      <c r="V53" s="2" t="s">
        <v>1312</v>
      </c>
      <c r="X53" s="10">
        <v>0.1736111111111111</v>
      </c>
      <c r="Y53" s="2" t="s">
        <v>387</v>
      </c>
      <c r="AB53" s="2" t="s">
        <v>402</v>
      </c>
      <c r="AD53" s="2" t="s">
        <v>535</v>
      </c>
      <c r="AE53" s="10">
        <v>-287861</v>
      </c>
      <c r="AH53" s="2" t="s">
        <v>403</v>
      </c>
      <c r="AI53" s="2" t="s">
        <v>392</v>
      </c>
      <c r="AK53" s="2" t="s">
        <v>1504</v>
      </c>
      <c r="AO53" s="2" t="s">
        <v>1505</v>
      </c>
      <c r="AP53" s="2" t="s">
        <v>1506</v>
      </c>
      <c r="AQ53" s="2" t="s">
        <v>1507</v>
      </c>
      <c r="AR53" s="2" t="s">
        <v>421</v>
      </c>
      <c r="AS53" s="2" t="s">
        <v>1508</v>
      </c>
      <c r="AT53" s="2" t="s">
        <v>546</v>
      </c>
      <c r="AU53" s="2" t="s">
        <v>396</v>
      </c>
      <c r="AV53" s="10">
        <v>-287861</v>
      </c>
      <c r="AW53" s="10">
        <v>-287861</v>
      </c>
      <c r="AX53" s="57" t="s">
        <v>397</v>
      </c>
      <c r="AY53" s="2" t="s">
        <v>1509</v>
      </c>
      <c r="AZ53" s="2" t="s">
        <v>838</v>
      </c>
      <c r="BB53" s="10">
        <v>45798.460486111115</v>
      </c>
      <c r="BC53" s="10">
        <v>45846.764490740738</v>
      </c>
      <c r="BD53" s="2" t="s">
        <v>1313</v>
      </c>
      <c r="BE53" s="2" t="s">
        <v>585</v>
      </c>
      <c r="BF53" s="2" t="s">
        <v>1510</v>
      </c>
      <c r="BG53" s="2" t="s">
        <v>1570</v>
      </c>
      <c r="BH53" s="2" t="s">
        <v>1567</v>
      </c>
      <c r="BI53" s="2" t="s">
        <v>1571</v>
      </c>
    </row>
    <row r="54" spans="1:61" ht="39.75" customHeight="1">
      <c r="A54" s="2">
        <v>516</v>
      </c>
      <c r="B54" s="2" t="s">
        <v>1314</v>
      </c>
      <c r="E54" s="2" t="s">
        <v>404</v>
      </c>
      <c r="F54" s="2" t="s">
        <v>329</v>
      </c>
      <c r="G54" s="10">
        <v>45798</v>
      </c>
      <c r="H54" s="2" t="s">
        <v>1315</v>
      </c>
      <c r="I54" s="2" t="s">
        <v>411</v>
      </c>
      <c r="J54" s="2" t="s">
        <v>1296</v>
      </c>
      <c r="K54" s="2" t="s">
        <v>54</v>
      </c>
      <c r="L54" s="2" t="s">
        <v>1316</v>
      </c>
      <c r="M54" s="2" t="s">
        <v>398</v>
      </c>
      <c r="N54" s="10" t="s">
        <v>145</v>
      </c>
      <c r="O54" s="2" t="s">
        <v>386</v>
      </c>
      <c r="P54" s="2" t="s">
        <v>412</v>
      </c>
      <c r="Q54" s="10" t="s">
        <v>413</v>
      </c>
      <c r="R54" s="2" t="s">
        <v>1317</v>
      </c>
      <c r="S54" s="10">
        <v>-287861</v>
      </c>
      <c r="T54" s="2" t="s">
        <v>1318</v>
      </c>
      <c r="U54" s="10" t="s">
        <v>1319</v>
      </c>
      <c r="V54" s="2" t="s">
        <v>1320</v>
      </c>
      <c r="W54" s="2" t="s">
        <v>416</v>
      </c>
      <c r="X54" s="10">
        <v>45709</v>
      </c>
      <c r="Y54" s="2" t="s">
        <v>399</v>
      </c>
      <c r="Z54" s="2" t="s">
        <v>400</v>
      </c>
      <c r="AA54" s="2" t="s">
        <v>401</v>
      </c>
      <c r="AB54" s="2" t="s">
        <v>402</v>
      </c>
      <c r="AD54" s="2" t="s">
        <v>607</v>
      </c>
      <c r="AE54" s="10">
        <v>-287861</v>
      </c>
      <c r="AH54" s="2" t="s">
        <v>403</v>
      </c>
      <c r="AO54" s="2" t="s">
        <v>1321</v>
      </c>
      <c r="AP54" s="2" t="s">
        <v>604</v>
      </c>
      <c r="AR54" s="2" t="s">
        <v>395</v>
      </c>
      <c r="AT54" s="2" t="s">
        <v>393</v>
      </c>
      <c r="AU54" s="2" t="s">
        <v>396</v>
      </c>
      <c r="AV54" s="10">
        <v>45805</v>
      </c>
      <c r="AW54" s="10">
        <v>-287861</v>
      </c>
      <c r="AX54" s="57" t="s">
        <v>397</v>
      </c>
      <c r="AY54" s="2" t="s">
        <v>1322</v>
      </c>
      <c r="AZ54" s="2" t="s">
        <v>409</v>
      </c>
      <c r="BB54" s="10">
        <v>45798.673796296294</v>
      </c>
      <c r="BC54" s="10">
        <v>45811.76761574074</v>
      </c>
      <c r="BD54" s="2" t="s">
        <v>1323</v>
      </c>
      <c r="BE54" s="2" t="s">
        <v>586</v>
      </c>
      <c r="BG54" s="2" t="s">
        <v>1570</v>
      </c>
      <c r="BH54" s="2" t="s">
        <v>1567</v>
      </c>
      <c r="BI54" s="2" t="s">
        <v>1571</v>
      </c>
    </row>
    <row r="55" spans="1:61" ht="39.75" customHeight="1">
      <c r="A55" s="2">
        <v>518</v>
      </c>
      <c r="B55" s="2" t="s">
        <v>1324</v>
      </c>
      <c r="F55" s="2" t="s">
        <v>384</v>
      </c>
      <c r="G55" s="10">
        <v>111546</v>
      </c>
      <c r="H55" s="2" t="s">
        <v>1325</v>
      </c>
      <c r="I55" s="2" t="s">
        <v>1326</v>
      </c>
      <c r="J55" s="2" t="s">
        <v>1327</v>
      </c>
      <c r="K55" s="2" t="s">
        <v>54</v>
      </c>
      <c r="L55" s="2" t="s">
        <v>1328</v>
      </c>
      <c r="M55" s="2" t="s">
        <v>423</v>
      </c>
      <c r="O55" s="2" t="s">
        <v>1069</v>
      </c>
      <c r="P55" s="2" t="s">
        <v>1070</v>
      </c>
      <c r="Q55" s="10" t="s">
        <v>1071</v>
      </c>
      <c r="R55" s="2" t="s">
        <v>422</v>
      </c>
      <c r="S55" s="10">
        <v>-287861</v>
      </c>
      <c r="T55" s="2" t="s">
        <v>1329</v>
      </c>
      <c r="U55" s="10" t="s">
        <v>1330</v>
      </c>
      <c r="V55" s="2" t="s">
        <v>1331</v>
      </c>
      <c r="X55" s="10">
        <v>-287861</v>
      </c>
      <c r="Y55" s="2" t="s">
        <v>399</v>
      </c>
      <c r="Z55" s="2" t="s">
        <v>407</v>
      </c>
      <c r="AA55" s="2" t="s">
        <v>389</v>
      </c>
      <c r="AB55" s="2" t="s">
        <v>402</v>
      </c>
      <c r="AE55" s="10">
        <v>-287861</v>
      </c>
      <c r="AI55" s="2" t="s">
        <v>1222</v>
      </c>
      <c r="AO55" s="2" t="s">
        <v>1332</v>
      </c>
      <c r="AR55" s="2" t="s">
        <v>395</v>
      </c>
      <c r="AT55" s="2" t="s">
        <v>394</v>
      </c>
      <c r="AU55" s="2" t="s">
        <v>394</v>
      </c>
      <c r="AV55" s="10">
        <v>-287861</v>
      </c>
      <c r="AW55" s="10">
        <v>45804</v>
      </c>
      <c r="AX55" s="57" t="s">
        <v>408</v>
      </c>
      <c r="AY55" s="2" t="s">
        <v>1333</v>
      </c>
      <c r="AZ55" s="2" t="s">
        <v>515</v>
      </c>
      <c r="BB55" s="10">
        <v>45803.5000462963</v>
      </c>
      <c r="BC55" s="10">
        <v>45804.466261574074</v>
      </c>
      <c r="BD55" s="2" t="s">
        <v>1334</v>
      </c>
      <c r="BE55" s="2" t="s">
        <v>585</v>
      </c>
      <c r="BF55" s="2" t="s">
        <v>1335</v>
      </c>
      <c r="BG55" s="2" t="s">
        <v>1570</v>
      </c>
      <c r="BH55" s="2" t="s">
        <v>1567</v>
      </c>
      <c r="BI55" s="2" t="s">
        <v>1571</v>
      </c>
    </row>
    <row r="56" spans="1:61" ht="39.75" customHeight="1">
      <c r="A56" s="2">
        <v>519</v>
      </c>
      <c r="B56" s="2" t="s">
        <v>1336</v>
      </c>
      <c r="E56" s="2" t="s">
        <v>744</v>
      </c>
      <c r="F56" s="2" t="s">
        <v>332</v>
      </c>
      <c r="G56" s="10">
        <v>45803</v>
      </c>
      <c r="H56" s="2" t="s">
        <v>414</v>
      </c>
      <c r="I56" s="2" t="s">
        <v>406</v>
      </c>
      <c r="J56" s="2" t="s">
        <v>1337</v>
      </c>
      <c r="L56" s="2" t="s">
        <v>529</v>
      </c>
      <c r="M56" s="2" t="s">
        <v>594</v>
      </c>
      <c r="N56" s="10" t="s">
        <v>594</v>
      </c>
      <c r="O56" s="2" t="s">
        <v>1338</v>
      </c>
      <c r="P56" s="2" t="s">
        <v>1339</v>
      </c>
      <c r="Q56" s="10" t="s">
        <v>1340</v>
      </c>
      <c r="R56" s="2" t="s">
        <v>1341</v>
      </c>
      <c r="S56" s="10">
        <v>-287861</v>
      </c>
      <c r="T56" s="2" t="s">
        <v>670</v>
      </c>
      <c r="U56" s="10" t="s">
        <v>1342</v>
      </c>
      <c r="V56" s="2" t="s">
        <v>1343</v>
      </c>
      <c r="X56" s="10">
        <v>45779</v>
      </c>
      <c r="Y56" s="2" t="s">
        <v>399</v>
      </c>
      <c r="Z56" s="2" t="s">
        <v>407</v>
      </c>
      <c r="AA56" s="2" t="s">
        <v>389</v>
      </c>
      <c r="AB56" s="2" t="s">
        <v>390</v>
      </c>
      <c r="AE56" s="10">
        <v>-287861</v>
      </c>
      <c r="AV56" s="10">
        <v>-287861</v>
      </c>
      <c r="AW56" s="10">
        <v>-287861</v>
      </c>
      <c r="AX56" s="57" t="s">
        <v>415</v>
      </c>
      <c r="AY56" s="2" t="s">
        <v>1344</v>
      </c>
      <c r="AZ56" s="2" t="s">
        <v>415</v>
      </c>
      <c r="BB56" s="10">
        <v>45803.572187500002</v>
      </c>
      <c r="BC56" s="10">
        <v>45803.572314814817</v>
      </c>
      <c r="BD56" s="2" t="s">
        <v>1345</v>
      </c>
      <c r="BE56" s="2" t="s">
        <v>586</v>
      </c>
      <c r="BG56" s="2" t="s">
        <v>1577</v>
      </c>
      <c r="BH56" s="2" t="s">
        <v>1574</v>
      </c>
      <c r="BI56" s="2" t="s">
        <v>1576</v>
      </c>
    </row>
    <row r="57" spans="1:61" ht="39.75" customHeight="1">
      <c r="A57" s="2">
        <v>520</v>
      </c>
      <c r="B57" s="2" t="s">
        <v>1346</v>
      </c>
      <c r="E57" s="2" t="s">
        <v>1347</v>
      </c>
      <c r="F57" s="2" t="s">
        <v>517</v>
      </c>
      <c r="G57" s="10">
        <v>45805</v>
      </c>
      <c r="H57" s="2" t="s">
        <v>1348</v>
      </c>
      <c r="I57" s="2" t="s">
        <v>1348</v>
      </c>
      <c r="J57" s="2" t="s">
        <v>1349</v>
      </c>
      <c r="L57" s="2" t="s">
        <v>529</v>
      </c>
      <c r="M57" s="2" t="s">
        <v>385</v>
      </c>
      <c r="N57" s="10" t="s">
        <v>117</v>
      </c>
      <c r="O57" s="2" t="s">
        <v>591</v>
      </c>
      <c r="P57" s="2" t="s">
        <v>1259</v>
      </c>
      <c r="Q57" s="10" t="s">
        <v>1260</v>
      </c>
      <c r="R57" s="2" t="s">
        <v>1350</v>
      </c>
      <c r="S57" s="10">
        <v>41769</v>
      </c>
      <c r="T57" s="2" t="s">
        <v>1351</v>
      </c>
      <c r="U57" s="10" t="s">
        <v>1352</v>
      </c>
      <c r="X57" s="10">
        <v>45799</v>
      </c>
      <c r="Y57" s="2" t="s">
        <v>399</v>
      </c>
      <c r="Z57" s="2" t="s">
        <v>388</v>
      </c>
      <c r="AA57" s="2" t="s">
        <v>389</v>
      </c>
      <c r="AB57" s="2" t="s">
        <v>390</v>
      </c>
      <c r="AE57" s="10">
        <v>-287861</v>
      </c>
      <c r="AH57" s="2" t="s">
        <v>403</v>
      </c>
      <c r="AV57" s="10">
        <v>45817</v>
      </c>
      <c r="AW57" s="10">
        <v>-287861</v>
      </c>
      <c r="AX57" s="57" t="s">
        <v>518</v>
      </c>
      <c r="AY57" s="2" t="s">
        <v>1353</v>
      </c>
      <c r="AZ57" s="2" t="s">
        <v>518</v>
      </c>
      <c r="BB57" s="10">
        <v>45805.377476851849</v>
      </c>
      <c r="BC57" s="10">
        <v>45805.37771990741</v>
      </c>
      <c r="BD57" s="2" t="s">
        <v>1354</v>
      </c>
      <c r="BE57" s="2" t="s">
        <v>586</v>
      </c>
      <c r="BG57" s="2" t="s">
        <v>1577</v>
      </c>
      <c r="BH57" s="2" t="s">
        <v>1567</v>
      </c>
      <c r="BI57" s="2" t="s">
        <v>1576</v>
      </c>
    </row>
    <row r="58" spans="1:61" ht="39.75" customHeight="1">
      <c r="A58" s="2">
        <v>521</v>
      </c>
      <c r="B58" s="2" t="s">
        <v>1355</v>
      </c>
      <c r="E58" s="2" t="s">
        <v>1347</v>
      </c>
      <c r="F58" s="2" t="s">
        <v>517</v>
      </c>
      <c r="G58" s="10">
        <v>45805</v>
      </c>
      <c r="H58" s="2" t="s">
        <v>1356</v>
      </c>
      <c r="I58" s="2" t="s">
        <v>1357</v>
      </c>
      <c r="J58" s="2" t="s">
        <v>1358</v>
      </c>
      <c r="K58" s="2" t="s">
        <v>54</v>
      </c>
      <c r="L58" s="2" t="s">
        <v>1359</v>
      </c>
      <c r="M58" s="2" t="s">
        <v>385</v>
      </c>
      <c r="N58" s="10" t="s">
        <v>117</v>
      </c>
      <c r="O58" s="2" t="s">
        <v>1360</v>
      </c>
      <c r="P58" s="2" t="s">
        <v>1361</v>
      </c>
      <c r="Q58" s="10" t="s">
        <v>1362</v>
      </c>
      <c r="R58" s="2" t="s">
        <v>1363</v>
      </c>
      <c r="S58" s="10">
        <v>45637</v>
      </c>
      <c r="T58" s="2" t="s">
        <v>1364</v>
      </c>
      <c r="U58" s="10" t="s">
        <v>1365</v>
      </c>
      <c r="X58" s="10">
        <v>45800</v>
      </c>
      <c r="Y58" s="2" t="s">
        <v>387</v>
      </c>
      <c r="Z58" s="2" t="s">
        <v>407</v>
      </c>
      <c r="AA58" s="2" t="s">
        <v>389</v>
      </c>
      <c r="AB58" s="2" t="s">
        <v>402</v>
      </c>
      <c r="AD58" s="2" t="s">
        <v>535</v>
      </c>
      <c r="AE58" s="10">
        <v>-287861</v>
      </c>
      <c r="AH58" s="2" t="s">
        <v>403</v>
      </c>
      <c r="AK58" s="2" t="s">
        <v>1366</v>
      </c>
      <c r="AO58" s="2" t="s">
        <v>1367</v>
      </c>
      <c r="AP58" s="2" t="s">
        <v>1368</v>
      </c>
      <c r="AR58" s="2" t="s">
        <v>395</v>
      </c>
      <c r="AS58" s="2" t="s">
        <v>1369</v>
      </c>
      <c r="AT58" s="2" t="s">
        <v>696</v>
      </c>
      <c r="AU58" s="2" t="s">
        <v>396</v>
      </c>
      <c r="AV58" s="10">
        <v>45813</v>
      </c>
      <c r="AW58" s="10">
        <v>-287861</v>
      </c>
      <c r="AX58" s="57" t="s">
        <v>397</v>
      </c>
      <c r="AY58" s="2" t="s">
        <v>1370</v>
      </c>
      <c r="AZ58" s="2" t="s">
        <v>518</v>
      </c>
      <c r="BB58" s="10">
        <v>45805.486898148149</v>
      </c>
      <c r="BC58" s="10">
        <v>45813.732465277775</v>
      </c>
      <c r="BD58" s="2" t="s">
        <v>1371</v>
      </c>
      <c r="BE58" s="2" t="s">
        <v>586</v>
      </c>
      <c r="BG58" s="2" t="s">
        <v>1570</v>
      </c>
      <c r="BH58" s="2" t="s">
        <v>1567</v>
      </c>
      <c r="BI58" s="2" t="s">
        <v>1571</v>
      </c>
    </row>
    <row r="59" spans="1:61" ht="39.75" customHeight="1">
      <c r="A59" s="2">
        <v>524</v>
      </c>
      <c r="B59" s="2" t="s">
        <v>1372</v>
      </c>
      <c r="C59" s="2" t="s">
        <v>1373</v>
      </c>
      <c r="E59" s="2" t="s">
        <v>379</v>
      </c>
      <c r="F59" s="2" t="s">
        <v>325</v>
      </c>
      <c r="G59" s="10">
        <v>45810</v>
      </c>
      <c r="I59" s="2" t="s">
        <v>1374</v>
      </c>
      <c r="J59" s="2" t="s">
        <v>1375</v>
      </c>
      <c r="K59" s="2" t="s">
        <v>54</v>
      </c>
      <c r="L59" s="2" t="s">
        <v>1376</v>
      </c>
      <c r="M59" s="2" t="s">
        <v>423</v>
      </c>
      <c r="O59" s="2" t="s">
        <v>1377</v>
      </c>
      <c r="P59" s="2" t="s">
        <v>1378</v>
      </c>
      <c r="Q59" s="10" t="s">
        <v>1379</v>
      </c>
      <c r="R59" s="2" t="s">
        <v>422</v>
      </c>
      <c r="S59" s="10">
        <v>45699</v>
      </c>
      <c r="T59" s="2" t="s">
        <v>1380</v>
      </c>
      <c r="U59" s="10" t="s">
        <v>1381</v>
      </c>
      <c r="V59" s="2" t="s">
        <v>1382</v>
      </c>
      <c r="W59" s="2" t="s">
        <v>1383</v>
      </c>
      <c r="X59" s="10">
        <v>45807</v>
      </c>
      <c r="Y59" s="2" t="s">
        <v>399</v>
      </c>
      <c r="Z59" s="2" t="s">
        <v>388</v>
      </c>
      <c r="AA59" s="2" t="s">
        <v>389</v>
      </c>
      <c r="AB59" s="2" t="s">
        <v>402</v>
      </c>
      <c r="AD59" s="2" t="s">
        <v>1384</v>
      </c>
      <c r="AE59" s="10">
        <v>-287861</v>
      </c>
      <c r="AH59" s="2" t="s">
        <v>391</v>
      </c>
      <c r="AK59" s="2" t="s">
        <v>1385</v>
      </c>
      <c r="AO59" s="2" t="s">
        <v>1386</v>
      </c>
      <c r="AP59" s="2" t="s">
        <v>1368</v>
      </c>
      <c r="AQ59" s="2" t="s">
        <v>1387</v>
      </c>
      <c r="AR59" s="2" t="s">
        <v>421</v>
      </c>
      <c r="AS59" s="2" t="s">
        <v>1388</v>
      </c>
      <c r="AT59" s="2" t="s">
        <v>396</v>
      </c>
      <c r="AU59" s="2" t="s">
        <v>394</v>
      </c>
      <c r="AV59" s="10">
        <v>45817</v>
      </c>
      <c r="AW59" s="10">
        <v>-287861</v>
      </c>
      <c r="AX59" s="57" t="s">
        <v>397</v>
      </c>
      <c r="AY59" s="2" t="s">
        <v>1389</v>
      </c>
      <c r="AZ59" s="2" t="s">
        <v>417</v>
      </c>
      <c r="BB59" s="10">
        <v>45812.482847222222</v>
      </c>
      <c r="BC59" s="10">
        <v>45820.777939814812</v>
      </c>
      <c r="BD59" s="2" t="s">
        <v>1390</v>
      </c>
      <c r="BE59" s="2" t="s">
        <v>585</v>
      </c>
      <c r="BF59" s="2" t="s">
        <v>1391</v>
      </c>
      <c r="BG59" s="2" t="s">
        <v>1570</v>
      </c>
      <c r="BH59" s="2" t="s">
        <v>1567</v>
      </c>
      <c r="BI59" s="2" t="s">
        <v>1571</v>
      </c>
    </row>
    <row r="60" spans="1:61" ht="39.75" customHeight="1">
      <c r="A60" s="2">
        <v>525</v>
      </c>
      <c r="B60" s="2" t="s">
        <v>1392</v>
      </c>
      <c r="C60" s="2" t="s">
        <v>1393</v>
      </c>
      <c r="E60" s="2" t="s">
        <v>383</v>
      </c>
      <c r="F60" s="2" t="s">
        <v>384</v>
      </c>
      <c r="G60" s="10">
        <v>45813</v>
      </c>
      <c r="I60" s="2" t="s">
        <v>666</v>
      </c>
      <c r="J60" s="2" t="s">
        <v>667</v>
      </c>
      <c r="K60" s="2" t="s">
        <v>54</v>
      </c>
      <c r="L60" s="2" t="s">
        <v>1394</v>
      </c>
      <c r="M60" s="2" t="s">
        <v>385</v>
      </c>
      <c r="N60" s="10" t="s">
        <v>117</v>
      </c>
      <c r="P60" s="2" t="s">
        <v>1395</v>
      </c>
      <c r="Q60" s="10" t="s">
        <v>1396</v>
      </c>
      <c r="R60" s="2" t="s">
        <v>1397</v>
      </c>
      <c r="S60" s="10">
        <v>45258</v>
      </c>
      <c r="T60" s="2" t="s">
        <v>1398</v>
      </c>
      <c r="U60" s="10" t="s">
        <v>1399</v>
      </c>
      <c r="V60" s="2" t="s">
        <v>1400</v>
      </c>
      <c r="X60" s="10">
        <v>-287861</v>
      </c>
      <c r="Y60" s="2" t="s">
        <v>387</v>
      </c>
      <c r="Z60" s="2" t="s">
        <v>388</v>
      </c>
      <c r="AA60" s="2" t="s">
        <v>389</v>
      </c>
      <c r="AB60" s="2" t="s">
        <v>402</v>
      </c>
      <c r="AD60" s="2" t="s">
        <v>535</v>
      </c>
      <c r="AE60" s="10">
        <v>-287861</v>
      </c>
      <c r="AH60" s="2" t="s">
        <v>403</v>
      </c>
      <c r="AI60" s="2" t="s">
        <v>392</v>
      </c>
      <c r="AK60" s="2" t="s">
        <v>1401</v>
      </c>
      <c r="AO60" s="2" t="s">
        <v>1402</v>
      </c>
      <c r="AP60" s="2" t="s">
        <v>604</v>
      </c>
      <c r="AR60" s="2" t="s">
        <v>395</v>
      </c>
      <c r="AS60" s="2" t="s">
        <v>1403</v>
      </c>
      <c r="AT60" s="2" t="s">
        <v>393</v>
      </c>
      <c r="AU60" s="2" t="s">
        <v>396</v>
      </c>
      <c r="AV60" s="10">
        <v>45821</v>
      </c>
      <c r="AW60" s="10">
        <v>-287861</v>
      </c>
      <c r="AX60" s="57" t="s">
        <v>397</v>
      </c>
      <c r="AY60" s="2" t="s">
        <v>1404</v>
      </c>
      <c r="AZ60" s="2" t="s">
        <v>515</v>
      </c>
      <c r="BB60" s="10">
        <v>45813.702696759261</v>
      </c>
      <c r="BC60" s="10">
        <v>45838.43822916667</v>
      </c>
      <c r="BD60" s="2" t="s">
        <v>1405</v>
      </c>
      <c r="BE60" s="2" t="s">
        <v>586</v>
      </c>
      <c r="BG60" s="2" t="s">
        <v>1570</v>
      </c>
      <c r="BH60" s="2" t="s">
        <v>1567</v>
      </c>
      <c r="BI60" s="2" t="s">
        <v>1571</v>
      </c>
    </row>
    <row r="61" spans="1:61" ht="39.75" customHeight="1">
      <c r="A61" s="2">
        <v>526</v>
      </c>
      <c r="B61" s="2" t="s">
        <v>1406</v>
      </c>
      <c r="C61" s="2" t="s">
        <v>1216</v>
      </c>
      <c r="E61" s="2" t="s">
        <v>379</v>
      </c>
      <c r="F61" s="2" t="s">
        <v>517</v>
      </c>
      <c r="G61" s="10">
        <v>45772</v>
      </c>
      <c r="H61" s="2" t="s">
        <v>1407</v>
      </c>
      <c r="I61" s="2" t="s">
        <v>1217</v>
      </c>
      <c r="J61" s="2" t="s">
        <v>1218</v>
      </c>
      <c r="L61" s="2" t="s">
        <v>529</v>
      </c>
      <c r="M61" s="2" t="s">
        <v>398</v>
      </c>
      <c r="N61" s="10" t="s">
        <v>1048</v>
      </c>
      <c r="O61" s="2" t="s">
        <v>1048</v>
      </c>
      <c r="P61" s="2" t="s">
        <v>1219</v>
      </c>
      <c r="Q61" s="10" t="s">
        <v>1220</v>
      </c>
      <c r="R61" s="2" t="s">
        <v>1221</v>
      </c>
      <c r="S61" s="10">
        <v>-287861</v>
      </c>
      <c r="T61" s="2" t="s">
        <v>1408</v>
      </c>
      <c r="U61" s="10" t="s">
        <v>1409</v>
      </c>
      <c r="X61" s="10">
        <v>45766</v>
      </c>
      <c r="Y61" s="2" t="s">
        <v>399</v>
      </c>
      <c r="Z61" s="2" t="s">
        <v>400</v>
      </c>
      <c r="AA61" s="2" t="s">
        <v>389</v>
      </c>
      <c r="AB61" s="2" t="s">
        <v>390</v>
      </c>
      <c r="AD61" s="2" t="s">
        <v>541</v>
      </c>
      <c r="AE61" s="10">
        <v>-287861</v>
      </c>
      <c r="AH61" s="2" t="s">
        <v>391</v>
      </c>
      <c r="AV61" s="10">
        <v>45821</v>
      </c>
      <c r="AW61" s="10">
        <v>-287861</v>
      </c>
      <c r="AX61" s="57" t="s">
        <v>518</v>
      </c>
      <c r="AY61" s="2" t="s">
        <v>1410</v>
      </c>
      <c r="AZ61" s="2" t="s">
        <v>518</v>
      </c>
      <c r="BB61" s="10">
        <v>45814.444085648145</v>
      </c>
      <c r="BC61" s="10">
        <v>45814.444166666668</v>
      </c>
      <c r="BD61" s="2" t="s">
        <v>1411</v>
      </c>
      <c r="BE61" s="2" t="s">
        <v>586</v>
      </c>
      <c r="BG61" s="2" t="s">
        <v>1577</v>
      </c>
      <c r="BH61" s="2" t="s">
        <v>1567</v>
      </c>
      <c r="BI61" s="2" t="s">
        <v>1576</v>
      </c>
    </row>
    <row r="62" spans="1:61" ht="39.75" customHeight="1">
      <c r="A62" s="2">
        <v>527</v>
      </c>
      <c r="B62" s="2" t="s">
        <v>1412</v>
      </c>
      <c r="E62" s="2" t="s">
        <v>404</v>
      </c>
      <c r="F62" s="2" t="s">
        <v>329</v>
      </c>
      <c r="G62" s="10">
        <v>45814</v>
      </c>
      <c r="H62" s="2" t="s">
        <v>1413</v>
      </c>
      <c r="I62" s="2" t="s">
        <v>411</v>
      </c>
      <c r="J62" s="2" t="s">
        <v>1414</v>
      </c>
      <c r="L62" s="2" t="s">
        <v>529</v>
      </c>
      <c r="M62" s="2" t="s">
        <v>398</v>
      </c>
      <c r="N62" s="10" t="s">
        <v>145</v>
      </c>
      <c r="O62" s="2" t="s">
        <v>386</v>
      </c>
      <c r="P62" s="2" t="s">
        <v>412</v>
      </c>
      <c r="Q62" s="10" t="s">
        <v>413</v>
      </c>
      <c r="R62" s="2" t="s">
        <v>1415</v>
      </c>
      <c r="S62" s="10">
        <v>-287861</v>
      </c>
      <c r="T62" s="2" t="s">
        <v>1416</v>
      </c>
      <c r="U62" s="10" t="s">
        <v>1417</v>
      </c>
      <c r="W62" s="2" t="s">
        <v>416</v>
      </c>
      <c r="X62" s="10">
        <v>45699</v>
      </c>
      <c r="Y62" s="2" t="s">
        <v>399</v>
      </c>
      <c r="Z62" s="2" t="s">
        <v>400</v>
      </c>
      <c r="AA62" s="2" t="s">
        <v>401</v>
      </c>
      <c r="AB62" s="2" t="s">
        <v>402</v>
      </c>
      <c r="AE62" s="10">
        <v>-287861</v>
      </c>
      <c r="AV62" s="10">
        <v>45832</v>
      </c>
      <c r="AW62" s="10">
        <v>-287861</v>
      </c>
      <c r="AX62" s="57" t="s">
        <v>409</v>
      </c>
      <c r="AY62" s="2" t="s">
        <v>1418</v>
      </c>
      <c r="AZ62" s="2" t="s">
        <v>409</v>
      </c>
      <c r="BB62" s="10">
        <v>45817.66375</v>
      </c>
      <c r="BC62" s="10">
        <v>45817.6637962963</v>
      </c>
      <c r="BD62" s="2" t="s">
        <v>1419</v>
      </c>
      <c r="BE62" s="2" t="s">
        <v>586</v>
      </c>
      <c r="BG62" s="2" t="s">
        <v>1570</v>
      </c>
      <c r="BH62" s="2" t="s">
        <v>1567</v>
      </c>
      <c r="BI62" s="2" t="s">
        <v>1571</v>
      </c>
    </row>
    <row r="63" spans="1:61" ht="39.75" customHeight="1">
      <c r="A63" s="2">
        <v>528</v>
      </c>
      <c r="B63" s="2" t="s">
        <v>1420</v>
      </c>
      <c r="E63" s="2" t="s">
        <v>404</v>
      </c>
      <c r="F63" s="2" t="s">
        <v>329</v>
      </c>
      <c r="G63" s="10">
        <v>45814</v>
      </c>
      <c r="H63" s="2" t="s">
        <v>1413</v>
      </c>
      <c r="I63" s="2" t="s">
        <v>411</v>
      </c>
      <c r="J63" s="2" t="s">
        <v>1414</v>
      </c>
      <c r="K63" s="2" t="s">
        <v>54</v>
      </c>
      <c r="L63" s="2" t="s">
        <v>529</v>
      </c>
      <c r="M63" s="2" t="s">
        <v>398</v>
      </c>
      <c r="N63" s="10" t="s">
        <v>145</v>
      </c>
      <c r="O63" s="2" t="s">
        <v>386</v>
      </c>
      <c r="P63" s="2" t="s">
        <v>412</v>
      </c>
      <c r="Q63" s="10" t="s">
        <v>413</v>
      </c>
      <c r="R63" s="2" t="s">
        <v>1421</v>
      </c>
      <c r="S63" s="10">
        <v>-287861</v>
      </c>
      <c r="T63" s="2" t="s">
        <v>1422</v>
      </c>
      <c r="U63" s="10" t="s">
        <v>1423</v>
      </c>
      <c r="W63" s="2" t="s">
        <v>416</v>
      </c>
      <c r="X63" s="10">
        <v>45744</v>
      </c>
      <c r="Y63" s="2" t="s">
        <v>399</v>
      </c>
      <c r="Z63" s="2" t="s">
        <v>400</v>
      </c>
      <c r="AA63" s="2" t="s">
        <v>401</v>
      </c>
      <c r="AB63" s="2" t="s">
        <v>402</v>
      </c>
      <c r="AE63" s="10">
        <v>-287861</v>
      </c>
      <c r="AI63" s="2" t="s">
        <v>392</v>
      </c>
      <c r="AP63" s="2" t="s">
        <v>606</v>
      </c>
      <c r="AQ63" s="2" t="s">
        <v>528</v>
      </c>
      <c r="AR63" s="2" t="s">
        <v>410</v>
      </c>
      <c r="AT63" s="2" t="s">
        <v>393</v>
      </c>
      <c r="AV63" s="10">
        <v>45832</v>
      </c>
      <c r="AW63" s="10">
        <v>-287861</v>
      </c>
      <c r="AX63" s="57" t="s">
        <v>409</v>
      </c>
      <c r="AY63" s="2" t="s">
        <v>1418</v>
      </c>
      <c r="AZ63" s="2" t="s">
        <v>409</v>
      </c>
      <c r="BB63" s="10">
        <v>45817.667870370373</v>
      </c>
      <c r="BC63" s="10">
        <v>45831.47079861111</v>
      </c>
      <c r="BD63" s="2" t="s">
        <v>1424</v>
      </c>
      <c r="BE63" s="2" t="s">
        <v>586</v>
      </c>
      <c r="BG63" s="2" t="s">
        <v>1570</v>
      </c>
      <c r="BH63" s="2" t="s">
        <v>1567</v>
      </c>
      <c r="BI63" s="2" t="s">
        <v>1571</v>
      </c>
    </row>
    <row r="64" spans="1:61" ht="39.75" customHeight="1">
      <c r="A64" s="2">
        <v>532</v>
      </c>
      <c r="B64" s="2" t="s">
        <v>1425</v>
      </c>
      <c r="C64" s="2" t="s">
        <v>1426</v>
      </c>
      <c r="E64" s="2" t="s">
        <v>404</v>
      </c>
      <c r="F64" s="2" t="s">
        <v>405</v>
      </c>
      <c r="G64" s="10">
        <v>45817</v>
      </c>
      <c r="I64" s="2" t="s">
        <v>1427</v>
      </c>
      <c r="J64" s="2" t="s">
        <v>1428</v>
      </c>
      <c r="K64" s="2" t="s">
        <v>1429</v>
      </c>
      <c r="L64" s="2" t="s">
        <v>529</v>
      </c>
      <c r="M64" s="2" t="s">
        <v>398</v>
      </c>
      <c r="N64" s="10" t="s">
        <v>1048</v>
      </c>
      <c r="P64" s="2" t="s">
        <v>1430</v>
      </c>
      <c r="Q64" s="10" t="s">
        <v>1431</v>
      </c>
      <c r="R64" s="2" t="s">
        <v>1432</v>
      </c>
      <c r="S64" s="10">
        <v>45695</v>
      </c>
      <c r="T64" s="2" t="s">
        <v>1433</v>
      </c>
      <c r="U64" s="10" t="s">
        <v>1434</v>
      </c>
      <c r="V64" s="2" t="s">
        <v>1435</v>
      </c>
      <c r="X64" s="10">
        <v>45792</v>
      </c>
      <c r="Y64" s="2" t="s">
        <v>387</v>
      </c>
      <c r="Z64" s="2" t="s">
        <v>400</v>
      </c>
      <c r="AA64" s="2" t="s">
        <v>401</v>
      </c>
      <c r="AB64" s="2" t="s">
        <v>390</v>
      </c>
      <c r="AE64" s="10">
        <v>-287861</v>
      </c>
      <c r="AV64" s="10">
        <v>45835</v>
      </c>
      <c r="AW64" s="10">
        <v>-287861</v>
      </c>
      <c r="AX64" s="57" t="s">
        <v>409</v>
      </c>
      <c r="AY64" s="2" t="s">
        <v>1436</v>
      </c>
      <c r="AZ64" s="2" t="s">
        <v>409</v>
      </c>
      <c r="BB64" s="10">
        <v>45820.490914351853</v>
      </c>
      <c r="BC64" s="10">
        <v>45820.490949074076</v>
      </c>
      <c r="BD64" s="2" t="s">
        <v>1437</v>
      </c>
      <c r="BE64" s="2" t="s">
        <v>586</v>
      </c>
      <c r="BG64" s="2" t="s">
        <v>1577</v>
      </c>
      <c r="BH64" s="2" t="s">
        <v>1567</v>
      </c>
      <c r="BI64" s="2" t="s">
        <v>1576</v>
      </c>
    </row>
    <row r="65" spans="1:61" ht="39.75" customHeight="1">
      <c r="A65" s="2">
        <v>534</v>
      </c>
      <c r="B65" s="2" t="s">
        <v>1438</v>
      </c>
      <c r="E65" s="2" t="s">
        <v>404</v>
      </c>
      <c r="F65" s="2" t="s">
        <v>332</v>
      </c>
      <c r="G65" s="10">
        <v>45824</v>
      </c>
      <c r="H65" s="2" t="s">
        <v>426</v>
      </c>
      <c r="I65" s="2" t="s">
        <v>411</v>
      </c>
      <c r="K65" s="2" t="s">
        <v>54</v>
      </c>
      <c r="L65" s="2" t="s">
        <v>1439</v>
      </c>
      <c r="M65" s="2" t="s">
        <v>398</v>
      </c>
      <c r="O65" s="2" t="s">
        <v>927</v>
      </c>
      <c r="P65" s="2" t="s">
        <v>928</v>
      </c>
      <c r="Q65" s="10" t="s">
        <v>929</v>
      </c>
      <c r="R65" s="2" t="s">
        <v>1440</v>
      </c>
      <c r="S65" s="10">
        <v>-287861</v>
      </c>
      <c r="T65" s="2" t="s">
        <v>1441</v>
      </c>
      <c r="U65" s="10" t="s">
        <v>1442</v>
      </c>
      <c r="V65" s="2" t="s">
        <v>1443</v>
      </c>
      <c r="X65" s="10">
        <v>45789</v>
      </c>
      <c r="Y65" s="2" t="s">
        <v>399</v>
      </c>
      <c r="Z65" s="2" t="s">
        <v>407</v>
      </c>
      <c r="AA65" s="2" t="s">
        <v>389</v>
      </c>
      <c r="AB65" s="2" t="s">
        <v>402</v>
      </c>
      <c r="AD65" s="2" t="s">
        <v>535</v>
      </c>
      <c r="AE65" s="10">
        <v>-287861</v>
      </c>
      <c r="AH65" s="2" t="s">
        <v>403</v>
      </c>
      <c r="AI65" s="2" t="s">
        <v>599</v>
      </c>
      <c r="AK65" s="2" t="s">
        <v>1444</v>
      </c>
      <c r="AO65" s="2" t="s">
        <v>1445</v>
      </c>
      <c r="AP65" s="2" t="s">
        <v>1446</v>
      </c>
      <c r="AR65" s="2" t="s">
        <v>395</v>
      </c>
      <c r="AS65" s="2" t="s">
        <v>1447</v>
      </c>
      <c r="AT65" s="2" t="s">
        <v>546</v>
      </c>
      <c r="AU65" s="2" t="s">
        <v>396</v>
      </c>
      <c r="AV65" s="10">
        <v>45828</v>
      </c>
      <c r="AW65" s="10">
        <v>-287861</v>
      </c>
      <c r="AX65" s="57" t="s">
        <v>397</v>
      </c>
      <c r="AY65" s="2" t="s">
        <v>1448</v>
      </c>
      <c r="AZ65" s="2" t="s">
        <v>415</v>
      </c>
      <c r="BB65" s="10">
        <v>45824.561168981483</v>
      </c>
      <c r="BC65" s="10">
        <v>45832.423298611109</v>
      </c>
      <c r="BD65" s="2" t="s">
        <v>1449</v>
      </c>
      <c r="BE65" s="2" t="s">
        <v>586</v>
      </c>
      <c r="BG65" s="2" t="s">
        <v>1570</v>
      </c>
      <c r="BH65" s="2" t="s">
        <v>1567</v>
      </c>
      <c r="BI65" s="2" t="s">
        <v>1571</v>
      </c>
    </row>
    <row r="66" spans="1:61" ht="39.75" customHeight="1">
      <c r="A66" s="2">
        <v>535</v>
      </c>
      <c r="B66" s="2" t="s">
        <v>1450</v>
      </c>
      <c r="F66" s="2" t="s">
        <v>828</v>
      </c>
      <c r="G66" s="10">
        <v>45824</v>
      </c>
      <c r="H66" s="2" t="s">
        <v>791</v>
      </c>
      <c r="I66" s="2" t="s">
        <v>792</v>
      </c>
      <c r="K66" s="2" t="s">
        <v>54</v>
      </c>
      <c r="L66" s="2" t="s">
        <v>1451</v>
      </c>
      <c r="M66" s="2" t="s">
        <v>385</v>
      </c>
      <c r="N66" s="10" t="s">
        <v>117</v>
      </c>
      <c r="O66" s="2" t="s">
        <v>1452</v>
      </c>
      <c r="P66" s="2" t="s">
        <v>1453</v>
      </c>
      <c r="Q66" s="10" t="s">
        <v>1454</v>
      </c>
      <c r="R66" s="2" t="s">
        <v>1455</v>
      </c>
      <c r="S66" s="10">
        <v>-287861</v>
      </c>
      <c r="T66" s="2" t="s">
        <v>1456</v>
      </c>
      <c r="U66" s="10" t="s">
        <v>1457</v>
      </c>
      <c r="V66" s="2" t="s">
        <v>1458</v>
      </c>
      <c r="X66" s="10">
        <v>45824</v>
      </c>
      <c r="Y66" s="2" t="s">
        <v>387</v>
      </c>
      <c r="Z66" s="2" t="s">
        <v>407</v>
      </c>
      <c r="AA66" s="2" t="s">
        <v>407</v>
      </c>
      <c r="AB66" s="2" t="s">
        <v>402</v>
      </c>
      <c r="AD66" s="2" t="s">
        <v>535</v>
      </c>
      <c r="AE66" s="10">
        <v>-287861</v>
      </c>
      <c r="AH66" s="2" t="s">
        <v>391</v>
      </c>
      <c r="AK66" s="2" t="s">
        <v>1459</v>
      </c>
      <c r="AO66" s="2" t="s">
        <v>1460</v>
      </c>
      <c r="AP66" s="2" t="s">
        <v>604</v>
      </c>
      <c r="AR66" s="2" t="s">
        <v>395</v>
      </c>
      <c r="AS66" s="2" t="s">
        <v>1461</v>
      </c>
      <c r="AT66" s="2" t="s">
        <v>696</v>
      </c>
      <c r="AU66" s="2" t="s">
        <v>396</v>
      </c>
      <c r="AV66" s="10">
        <v>45838</v>
      </c>
      <c r="AW66" s="10">
        <v>-287861</v>
      </c>
      <c r="AX66" s="57" t="s">
        <v>397</v>
      </c>
      <c r="AY66" s="2" t="s">
        <v>1462</v>
      </c>
      <c r="AZ66" s="2" t="s">
        <v>838</v>
      </c>
      <c r="BB66" s="10">
        <v>45824.656134259261</v>
      </c>
      <c r="BC66" s="10">
        <v>45834.742847222224</v>
      </c>
      <c r="BD66" s="2" t="s">
        <v>1463</v>
      </c>
      <c r="BE66" s="2" t="s">
        <v>586</v>
      </c>
      <c r="BG66" s="2" t="s">
        <v>1570</v>
      </c>
      <c r="BH66" s="2" t="s">
        <v>1567</v>
      </c>
      <c r="BI66" s="2" t="s">
        <v>1571</v>
      </c>
    </row>
    <row r="67" spans="1:61" ht="39.75" customHeight="1">
      <c r="A67" s="2">
        <v>536</v>
      </c>
      <c r="B67" s="2" t="s">
        <v>1464</v>
      </c>
      <c r="C67" s="2" t="s">
        <v>1465</v>
      </c>
      <c r="E67" s="2" t="s">
        <v>383</v>
      </c>
      <c r="F67" s="2" t="s">
        <v>384</v>
      </c>
      <c r="G67" s="10">
        <v>45831</v>
      </c>
      <c r="I67" s="2" t="s">
        <v>1305</v>
      </c>
      <c r="J67" s="2" t="s">
        <v>1466</v>
      </c>
      <c r="K67" s="2" t="s">
        <v>1467</v>
      </c>
      <c r="L67" s="2" t="s">
        <v>529</v>
      </c>
      <c r="M67" s="2" t="s">
        <v>385</v>
      </c>
      <c r="N67" s="10" t="s">
        <v>126</v>
      </c>
      <c r="P67" s="2" t="s">
        <v>1468</v>
      </c>
      <c r="Q67" s="10" t="s">
        <v>1469</v>
      </c>
      <c r="R67" s="2" t="s">
        <v>1470</v>
      </c>
      <c r="S67" s="10">
        <v>45651</v>
      </c>
      <c r="T67" s="2" t="s">
        <v>1471</v>
      </c>
      <c r="U67" s="10" t="s">
        <v>1472</v>
      </c>
      <c r="X67" s="10">
        <v>-287861</v>
      </c>
      <c r="Y67" s="2" t="s">
        <v>399</v>
      </c>
      <c r="Z67" s="2" t="s">
        <v>400</v>
      </c>
      <c r="AA67" s="2" t="s">
        <v>401</v>
      </c>
      <c r="AB67" s="2" t="s">
        <v>402</v>
      </c>
      <c r="AE67" s="10">
        <v>-287861</v>
      </c>
      <c r="AV67" s="10">
        <v>45845</v>
      </c>
      <c r="AW67" s="10">
        <v>-287861</v>
      </c>
      <c r="AX67" s="57" t="s">
        <v>397</v>
      </c>
      <c r="AY67" s="2" t="s">
        <v>1473</v>
      </c>
      <c r="AZ67" s="2" t="s">
        <v>397</v>
      </c>
      <c r="BB67" s="10">
        <v>45831.680231481485</v>
      </c>
      <c r="BC67" s="10">
        <v>45832.496736111112</v>
      </c>
      <c r="BD67" s="2" t="s">
        <v>1474</v>
      </c>
      <c r="BE67" s="2" t="s">
        <v>585</v>
      </c>
      <c r="BG67" s="2" t="s">
        <v>1570</v>
      </c>
      <c r="BH67" s="2" t="s">
        <v>1567</v>
      </c>
      <c r="BI67" s="2" t="s">
        <v>1571</v>
      </c>
    </row>
    <row r="68" spans="1:61" ht="39.75" customHeight="1">
      <c r="A68" s="2">
        <v>537</v>
      </c>
      <c r="B68" s="2" t="s">
        <v>1475</v>
      </c>
      <c r="E68" s="2" t="s">
        <v>404</v>
      </c>
      <c r="F68" s="2" t="s">
        <v>329</v>
      </c>
      <c r="G68" s="10">
        <v>45838</v>
      </c>
      <c r="H68" s="2" t="s">
        <v>1315</v>
      </c>
      <c r="I68" s="2" t="s">
        <v>411</v>
      </c>
      <c r="J68" s="2" t="s">
        <v>1414</v>
      </c>
      <c r="L68" s="2" t="s">
        <v>529</v>
      </c>
      <c r="M68" s="2" t="s">
        <v>398</v>
      </c>
      <c r="N68" s="10" t="s">
        <v>145</v>
      </c>
      <c r="O68" s="2" t="s">
        <v>386</v>
      </c>
      <c r="P68" s="2" t="s">
        <v>412</v>
      </c>
      <c r="Q68" s="10" t="s">
        <v>413</v>
      </c>
      <c r="R68" s="2" t="s">
        <v>1476</v>
      </c>
      <c r="S68" s="10">
        <v>-287861</v>
      </c>
      <c r="T68" s="2" t="s">
        <v>1477</v>
      </c>
      <c r="U68" s="10" t="s">
        <v>1478</v>
      </c>
      <c r="W68" s="2" t="s">
        <v>416</v>
      </c>
      <c r="X68" s="10">
        <v>45769</v>
      </c>
      <c r="Y68" s="2" t="s">
        <v>399</v>
      </c>
      <c r="Z68" s="2" t="s">
        <v>400</v>
      </c>
      <c r="AA68" s="2" t="s">
        <v>401</v>
      </c>
      <c r="AB68" s="2" t="s">
        <v>402</v>
      </c>
      <c r="AE68" s="10">
        <v>-287861</v>
      </c>
      <c r="AV68" s="10">
        <v>45852</v>
      </c>
      <c r="AW68" s="10">
        <v>-287861</v>
      </c>
      <c r="AX68" s="57" t="s">
        <v>409</v>
      </c>
      <c r="AY68" s="2" t="s">
        <v>1479</v>
      </c>
      <c r="AZ68" s="2" t="s">
        <v>409</v>
      </c>
      <c r="BB68" s="10">
        <v>45838.571597222224</v>
      </c>
      <c r="BC68" s="10">
        <v>45838.571620370371</v>
      </c>
      <c r="BD68" s="2" t="s">
        <v>1480</v>
      </c>
      <c r="BE68" s="2" t="s">
        <v>586</v>
      </c>
      <c r="BG68" s="2" t="s">
        <v>1570</v>
      </c>
      <c r="BH68" s="2" t="s">
        <v>1567</v>
      </c>
      <c r="BI68" s="2" t="s">
        <v>1571</v>
      </c>
    </row>
    <row r="69" spans="1:61" ht="39.75" customHeight="1">
      <c r="A69" s="2">
        <v>538</v>
      </c>
      <c r="B69" s="2" t="s">
        <v>1481</v>
      </c>
      <c r="E69" s="2" t="s">
        <v>379</v>
      </c>
      <c r="F69" s="2" t="s">
        <v>507</v>
      </c>
      <c r="G69" s="10">
        <v>45839</v>
      </c>
      <c r="H69" s="2" t="s">
        <v>418</v>
      </c>
      <c r="I69" s="2" t="s">
        <v>419</v>
      </c>
      <c r="J69" s="2" t="s">
        <v>1482</v>
      </c>
      <c r="L69" s="2" t="s">
        <v>529</v>
      </c>
      <c r="M69" s="2" t="s">
        <v>398</v>
      </c>
      <c r="N69" s="10" t="s">
        <v>145</v>
      </c>
      <c r="O69" s="2" t="s">
        <v>1483</v>
      </c>
      <c r="P69" s="2" t="s">
        <v>699</v>
      </c>
      <c r="Q69" s="10" t="s">
        <v>700</v>
      </c>
      <c r="R69" s="2" t="s">
        <v>1484</v>
      </c>
      <c r="S69" s="10">
        <v>-287861</v>
      </c>
      <c r="T69" s="2" t="s">
        <v>1485</v>
      </c>
      <c r="U69" s="10" t="s">
        <v>1486</v>
      </c>
      <c r="X69" s="10">
        <v>45833</v>
      </c>
      <c r="Y69" s="2" t="s">
        <v>399</v>
      </c>
      <c r="Z69" s="2" t="s">
        <v>407</v>
      </c>
      <c r="AA69" s="2" t="s">
        <v>401</v>
      </c>
      <c r="AB69" s="2" t="s">
        <v>402</v>
      </c>
      <c r="AE69" s="10">
        <v>-287861</v>
      </c>
      <c r="AV69" s="10">
        <v>45847</v>
      </c>
      <c r="AW69" s="10">
        <v>-287861</v>
      </c>
      <c r="AX69" s="57" t="s">
        <v>518</v>
      </c>
      <c r="AY69" s="2" t="s">
        <v>1487</v>
      </c>
      <c r="AZ69" s="2" t="s">
        <v>518</v>
      </c>
      <c r="BB69" s="10">
        <v>45839.583171296297</v>
      </c>
      <c r="BC69" s="10">
        <v>45839.58326388889</v>
      </c>
      <c r="BD69" s="2" t="s">
        <v>1488</v>
      </c>
      <c r="BE69" s="2" t="s">
        <v>585</v>
      </c>
      <c r="BG69" s="2" t="s">
        <v>1570</v>
      </c>
      <c r="BH69" s="2" t="s">
        <v>1567</v>
      </c>
      <c r="BI69" s="2" t="s">
        <v>1571</v>
      </c>
    </row>
    <row r="70" spans="1:61" ht="39.75" customHeight="1">
      <c r="A70" s="2">
        <v>539</v>
      </c>
      <c r="B70" s="2" t="s">
        <v>1490</v>
      </c>
      <c r="F70" s="2" t="s">
        <v>312</v>
      </c>
      <c r="G70" s="10">
        <v>45841</v>
      </c>
      <c r="H70" s="2" t="s">
        <v>1491</v>
      </c>
      <c r="I70" s="2" t="s">
        <v>1492</v>
      </c>
      <c r="K70" s="2" t="s">
        <v>54</v>
      </c>
      <c r="L70" s="2" t="s">
        <v>1511</v>
      </c>
      <c r="M70" s="2" t="s">
        <v>385</v>
      </c>
      <c r="N70" s="10" t="s">
        <v>123</v>
      </c>
      <c r="O70" s="2" t="s">
        <v>1493</v>
      </c>
      <c r="P70" s="2" t="s">
        <v>1494</v>
      </c>
      <c r="Q70" s="10" t="s">
        <v>1495</v>
      </c>
      <c r="R70" s="2" t="s">
        <v>1496</v>
      </c>
      <c r="S70" s="10">
        <v>-287861</v>
      </c>
      <c r="T70" s="2" t="s">
        <v>1497</v>
      </c>
      <c r="U70" s="10" t="s">
        <v>1498</v>
      </c>
      <c r="V70" s="2" t="s">
        <v>1499</v>
      </c>
      <c r="X70" s="10">
        <v>45839</v>
      </c>
      <c r="Y70" s="2" t="s">
        <v>387</v>
      </c>
      <c r="Z70" s="2" t="s">
        <v>388</v>
      </c>
      <c r="AA70" s="2" t="s">
        <v>389</v>
      </c>
      <c r="AB70" s="2" t="s">
        <v>402</v>
      </c>
      <c r="AD70" s="2" t="s">
        <v>535</v>
      </c>
      <c r="AE70" s="10">
        <v>-287861</v>
      </c>
      <c r="AH70" s="2" t="s">
        <v>403</v>
      </c>
      <c r="AK70" s="2" t="s">
        <v>1512</v>
      </c>
      <c r="AO70" s="2" t="s">
        <v>1513</v>
      </c>
      <c r="AP70" s="2" t="s">
        <v>604</v>
      </c>
      <c r="AR70" s="2" t="s">
        <v>395</v>
      </c>
      <c r="AS70" s="2" t="s">
        <v>1514</v>
      </c>
      <c r="AT70" s="2" t="s">
        <v>696</v>
      </c>
      <c r="AU70" s="2" t="s">
        <v>396</v>
      </c>
      <c r="AV70" s="10">
        <v>45855</v>
      </c>
      <c r="AW70" s="10">
        <v>-287861</v>
      </c>
      <c r="AX70" s="57" t="s">
        <v>397</v>
      </c>
      <c r="AY70" s="2" t="s">
        <v>1515</v>
      </c>
      <c r="AZ70" s="2" t="s">
        <v>515</v>
      </c>
      <c r="BB70" s="10">
        <v>45841.465590277781</v>
      </c>
      <c r="BC70" s="10">
        <v>45847.640023148146</v>
      </c>
      <c r="BD70" s="2" t="s">
        <v>1516</v>
      </c>
      <c r="BE70" s="2" t="s">
        <v>586</v>
      </c>
      <c r="BG70" s="2" t="s">
        <v>1570</v>
      </c>
      <c r="BH70" s="2" t="s">
        <v>1567</v>
      </c>
      <c r="BI70" s="2" t="s">
        <v>1571</v>
      </c>
    </row>
    <row r="71" spans="1:61" ht="39.75" customHeight="1">
      <c r="A71" s="2">
        <v>541</v>
      </c>
      <c r="B71" s="2" t="s">
        <v>1517</v>
      </c>
      <c r="C71" s="2" t="s">
        <v>1518</v>
      </c>
      <c r="E71" s="2" t="s">
        <v>379</v>
      </c>
      <c r="F71" s="2" t="s">
        <v>1031</v>
      </c>
      <c r="G71" s="10">
        <v>45841</v>
      </c>
      <c r="H71" s="2" t="s">
        <v>1519</v>
      </c>
      <c r="I71" s="2" t="s">
        <v>1520</v>
      </c>
      <c r="J71" s="2" t="s">
        <v>1521</v>
      </c>
      <c r="K71" s="2" t="s">
        <v>1522</v>
      </c>
      <c r="L71" s="2" t="s">
        <v>529</v>
      </c>
      <c r="M71" s="2" t="s">
        <v>1068</v>
      </c>
      <c r="N71" s="10" t="s">
        <v>1068</v>
      </c>
      <c r="O71" s="2" t="s">
        <v>1523</v>
      </c>
      <c r="P71" s="2" t="s">
        <v>1524</v>
      </c>
      <c r="Q71" s="10" t="s">
        <v>422</v>
      </c>
      <c r="R71" s="2" t="s">
        <v>422</v>
      </c>
      <c r="S71" s="10">
        <v>-287861</v>
      </c>
      <c r="T71" s="2" t="s">
        <v>1525</v>
      </c>
      <c r="U71" s="10" t="s">
        <v>1526</v>
      </c>
      <c r="V71" s="2" t="s">
        <v>1527</v>
      </c>
      <c r="W71" s="2" t="s">
        <v>1528</v>
      </c>
      <c r="X71" s="10">
        <v>45845</v>
      </c>
      <c r="Y71" s="2" t="s">
        <v>399</v>
      </c>
      <c r="Z71" s="2" t="s">
        <v>400</v>
      </c>
      <c r="AA71" s="2" t="s">
        <v>389</v>
      </c>
      <c r="AB71" s="2" t="s">
        <v>402</v>
      </c>
      <c r="AE71" s="10">
        <v>-287861</v>
      </c>
      <c r="AV71" s="10">
        <v>45853</v>
      </c>
      <c r="AW71" s="10">
        <v>-287861</v>
      </c>
      <c r="AX71" s="57" t="s">
        <v>1014</v>
      </c>
      <c r="AY71" s="2" t="s">
        <v>1529</v>
      </c>
      <c r="AZ71" s="2" t="s">
        <v>1014</v>
      </c>
      <c r="BB71" s="10">
        <v>45845.722384259258</v>
      </c>
      <c r="BC71" s="10">
        <v>45845.72246527778</v>
      </c>
      <c r="BD71" s="2" t="s">
        <v>1530</v>
      </c>
      <c r="BE71" s="2" t="s">
        <v>586</v>
      </c>
      <c r="BG71" s="2" t="s">
        <v>1570</v>
      </c>
      <c r="BH71" s="2" t="s">
        <v>1575</v>
      </c>
      <c r="BI71" s="2" t="s">
        <v>1576</v>
      </c>
    </row>
    <row r="72" spans="1:61" ht="39.75" customHeight="1">
      <c r="A72" s="2">
        <v>542</v>
      </c>
      <c r="B72" s="2" t="s">
        <v>1531</v>
      </c>
      <c r="C72" s="2" t="s">
        <v>1532</v>
      </c>
      <c r="F72" s="2" t="s">
        <v>731</v>
      </c>
      <c r="G72" s="10">
        <v>45847</v>
      </c>
      <c r="H72" s="2" t="s">
        <v>792</v>
      </c>
      <c r="I72" s="2" t="s">
        <v>792</v>
      </c>
      <c r="J72" s="2" t="s">
        <v>1533</v>
      </c>
      <c r="K72" s="2" t="s">
        <v>1534</v>
      </c>
      <c r="L72" s="2" t="s">
        <v>529</v>
      </c>
      <c r="M72" s="2" t="s">
        <v>385</v>
      </c>
      <c r="N72" s="10" t="s">
        <v>117</v>
      </c>
      <c r="O72" s="2" t="s">
        <v>1535</v>
      </c>
      <c r="P72" s="2" t="s">
        <v>1536</v>
      </c>
      <c r="Q72" s="10" t="s">
        <v>1537</v>
      </c>
      <c r="R72" s="2" t="s">
        <v>1538</v>
      </c>
      <c r="S72" s="10">
        <v>-287861</v>
      </c>
      <c r="T72" s="2" t="s">
        <v>1539</v>
      </c>
      <c r="U72" s="10" t="s">
        <v>1540</v>
      </c>
      <c r="X72" s="10">
        <v>-287861</v>
      </c>
      <c r="Y72" s="2" t="s">
        <v>387</v>
      </c>
      <c r="Z72" s="2" t="s">
        <v>407</v>
      </c>
      <c r="AA72" s="2" t="s">
        <v>407</v>
      </c>
      <c r="AB72" s="2" t="s">
        <v>1192</v>
      </c>
      <c r="AD72" s="2" t="s">
        <v>1384</v>
      </c>
      <c r="AE72" s="10">
        <v>-287861</v>
      </c>
      <c r="AV72" s="10">
        <v>45856</v>
      </c>
      <c r="AW72" s="10">
        <v>-287861</v>
      </c>
      <c r="AX72" s="57" t="s">
        <v>737</v>
      </c>
      <c r="AY72" s="2" t="s">
        <v>1541</v>
      </c>
      <c r="AZ72" s="2" t="s">
        <v>737</v>
      </c>
      <c r="BB72" s="10">
        <v>45847.58798611111</v>
      </c>
      <c r="BC72" s="10">
        <v>45847.58834490741</v>
      </c>
      <c r="BD72" s="2" t="s">
        <v>1542</v>
      </c>
      <c r="BE72" s="2" t="s">
        <v>586</v>
      </c>
      <c r="BG72" s="2" t="s">
        <v>1577</v>
      </c>
      <c r="BH72" s="2" t="s">
        <v>1567</v>
      </c>
      <c r="BI72" s="2" t="s">
        <v>1576</v>
      </c>
    </row>
    <row r="73" spans="1:61" ht="39.75" customHeight="1">
      <c r="A73" s="2">
        <v>543</v>
      </c>
      <c r="B73" s="2" t="s">
        <v>1543</v>
      </c>
      <c r="F73" s="2" t="s">
        <v>1544</v>
      </c>
      <c r="G73" s="10">
        <v>45847</v>
      </c>
      <c r="H73" s="2" t="s">
        <v>1545</v>
      </c>
      <c r="I73" s="2" t="s">
        <v>988</v>
      </c>
      <c r="J73" s="2" t="s">
        <v>1546</v>
      </c>
      <c r="L73" s="2" t="s">
        <v>529</v>
      </c>
      <c r="M73" s="2" t="s">
        <v>398</v>
      </c>
      <c r="N73" s="10" t="s">
        <v>145</v>
      </c>
      <c r="O73" s="2" t="s">
        <v>145</v>
      </c>
      <c r="P73" s="2" t="s">
        <v>925</v>
      </c>
      <c r="Q73" s="10" t="s">
        <v>926</v>
      </c>
      <c r="R73" s="2" t="s">
        <v>1547</v>
      </c>
      <c r="S73" s="10">
        <v>-287861</v>
      </c>
      <c r="T73" s="2" t="s">
        <v>1548</v>
      </c>
      <c r="U73" s="10" t="s">
        <v>1549</v>
      </c>
      <c r="V73" s="2" t="s">
        <v>1550</v>
      </c>
      <c r="X73" s="10">
        <v>45838</v>
      </c>
      <c r="Y73" s="2" t="s">
        <v>399</v>
      </c>
      <c r="Z73" s="2" t="s">
        <v>388</v>
      </c>
      <c r="AA73" s="2" t="s">
        <v>389</v>
      </c>
      <c r="AB73" s="2" t="s">
        <v>402</v>
      </c>
      <c r="AE73" s="10">
        <v>-287861</v>
      </c>
      <c r="AH73" s="2" t="s">
        <v>391</v>
      </c>
      <c r="AV73" s="10">
        <v>45856</v>
      </c>
      <c r="AW73" s="10">
        <v>-287861</v>
      </c>
      <c r="AX73" s="57" t="s">
        <v>417</v>
      </c>
      <c r="AY73" s="2" t="s">
        <v>1551</v>
      </c>
      <c r="AZ73" s="2" t="s">
        <v>417</v>
      </c>
      <c r="BB73" s="10">
        <v>45847.710682870369</v>
      </c>
      <c r="BC73" s="10">
        <v>45847.711145833331</v>
      </c>
      <c r="BD73" s="2" t="s">
        <v>1552</v>
      </c>
      <c r="BE73" s="2" t="s">
        <v>585</v>
      </c>
      <c r="BG73" s="2" t="s">
        <v>1570</v>
      </c>
      <c r="BH73" s="2" t="s">
        <v>1567</v>
      </c>
      <c r="BI73" s="2" t="s">
        <v>1571</v>
      </c>
    </row>
    <row r="74" spans="1:61" ht="39.75" customHeight="1">
      <c r="A74" s="2">
        <v>544</v>
      </c>
      <c r="B74" s="2" t="s">
        <v>1553</v>
      </c>
      <c r="C74" s="2" t="s">
        <v>1465</v>
      </c>
      <c r="E74" s="2" t="s">
        <v>383</v>
      </c>
      <c r="F74" s="2" t="s">
        <v>384</v>
      </c>
      <c r="G74" s="10">
        <v>45831</v>
      </c>
      <c r="I74" s="2" t="s">
        <v>1305</v>
      </c>
      <c r="J74" s="2" t="s">
        <v>1466</v>
      </c>
      <c r="K74" s="2" t="s">
        <v>54</v>
      </c>
      <c r="L74" s="2" t="s">
        <v>529</v>
      </c>
      <c r="M74" s="2" t="s">
        <v>385</v>
      </c>
      <c r="N74" s="10" t="s">
        <v>126</v>
      </c>
      <c r="P74" s="2" t="s">
        <v>1468</v>
      </c>
      <c r="Q74" s="10" t="s">
        <v>1469</v>
      </c>
      <c r="R74" s="2" t="s">
        <v>1470</v>
      </c>
      <c r="S74" s="10">
        <v>45651</v>
      </c>
      <c r="T74" s="2" t="s">
        <v>1554</v>
      </c>
      <c r="U74" s="10" t="s">
        <v>1472</v>
      </c>
      <c r="X74" s="10">
        <v>-287861</v>
      </c>
      <c r="Y74" s="2" t="s">
        <v>399</v>
      </c>
      <c r="Z74" s="2" t="s">
        <v>400</v>
      </c>
      <c r="AA74" s="2" t="s">
        <v>401</v>
      </c>
      <c r="AB74" s="2" t="s">
        <v>402</v>
      </c>
      <c r="AD74" s="2" t="s">
        <v>535</v>
      </c>
      <c r="AE74" s="10">
        <v>-287861</v>
      </c>
      <c r="AH74" s="2" t="s">
        <v>391</v>
      </c>
      <c r="AI74" s="2" t="s">
        <v>392</v>
      </c>
      <c r="AK74" s="2" t="s">
        <v>1557</v>
      </c>
      <c r="AO74" s="2" t="s">
        <v>1555</v>
      </c>
      <c r="AP74" s="2" t="s">
        <v>606</v>
      </c>
      <c r="AQ74" s="2" t="s">
        <v>1510</v>
      </c>
      <c r="AR74" s="2" t="s">
        <v>421</v>
      </c>
      <c r="AS74" s="2" t="s">
        <v>1558</v>
      </c>
      <c r="AT74" s="2" t="s">
        <v>516</v>
      </c>
      <c r="AU74" s="2" t="s">
        <v>396</v>
      </c>
      <c r="AV74" s="10">
        <v>45845</v>
      </c>
      <c r="AW74" s="10">
        <v>-287861</v>
      </c>
      <c r="AX74" s="57" t="s">
        <v>397</v>
      </c>
      <c r="BA74" s="2" t="s">
        <v>1556</v>
      </c>
      <c r="BB74" s="10">
        <v>45848.726701388892</v>
      </c>
      <c r="BC74" s="10">
        <v>45849.492060185185</v>
      </c>
      <c r="BD74" s="2" t="s">
        <v>1474</v>
      </c>
      <c r="BE74" s="2" t="s">
        <v>585</v>
      </c>
      <c r="BF74" s="2" t="s">
        <v>1559</v>
      </c>
      <c r="BG74" s="2" t="s">
        <v>1570</v>
      </c>
      <c r="BH74" s="2" t="s">
        <v>1567</v>
      </c>
      <c r="BI74" s="2" t="s">
        <v>1571</v>
      </c>
    </row>
    <row r="75" spans="1:61" ht="39.75" customHeight="1">
      <c r="A75" s="2">
        <v>545</v>
      </c>
      <c r="B75" s="2" t="s">
        <v>1560</v>
      </c>
      <c r="C75" s="2" t="s">
        <v>1465</v>
      </c>
      <c r="E75" s="2" t="s">
        <v>383</v>
      </c>
      <c r="F75" s="2" t="s">
        <v>384</v>
      </c>
      <c r="G75" s="10">
        <v>45831</v>
      </c>
      <c r="I75" s="2" t="s">
        <v>1305</v>
      </c>
      <c r="J75" s="2" t="s">
        <v>1466</v>
      </c>
      <c r="K75" s="2" t="s">
        <v>54</v>
      </c>
      <c r="L75" s="2" t="s">
        <v>1561</v>
      </c>
      <c r="M75" s="2" t="s">
        <v>385</v>
      </c>
      <c r="N75" s="10" t="s">
        <v>126</v>
      </c>
      <c r="P75" s="2" t="s">
        <v>1468</v>
      </c>
      <c r="Q75" s="10" t="s">
        <v>1469</v>
      </c>
      <c r="R75" s="2" t="s">
        <v>1470</v>
      </c>
      <c r="S75" s="10">
        <v>45651</v>
      </c>
      <c r="T75" s="2" t="s">
        <v>1310</v>
      </c>
      <c r="U75" s="10" t="s">
        <v>1472</v>
      </c>
      <c r="X75" s="10">
        <v>-287861</v>
      </c>
      <c r="Y75" s="2" t="s">
        <v>399</v>
      </c>
      <c r="Z75" s="2" t="s">
        <v>400</v>
      </c>
      <c r="AA75" s="2" t="s">
        <v>401</v>
      </c>
      <c r="AB75" s="2" t="s">
        <v>402</v>
      </c>
      <c r="AD75" s="2" t="s">
        <v>535</v>
      </c>
      <c r="AE75" s="10">
        <v>-287861</v>
      </c>
      <c r="AH75" s="2" t="s">
        <v>391</v>
      </c>
      <c r="AI75" s="2" t="s">
        <v>392</v>
      </c>
      <c r="AK75" s="2" t="s">
        <v>1562</v>
      </c>
      <c r="AO75" s="2" t="s">
        <v>1555</v>
      </c>
      <c r="AP75" s="2" t="s">
        <v>604</v>
      </c>
      <c r="AQ75" s="2" t="s">
        <v>1510</v>
      </c>
      <c r="AR75" s="2" t="s">
        <v>421</v>
      </c>
      <c r="AS75" s="2" t="s">
        <v>1565</v>
      </c>
      <c r="AT75" s="2" t="s">
        <v>516</v>
      </c>
      <c r="AU75" s="2" t="s">
        <v>396</v>
      </c>
      <c r="AV75" s="10">
        <v>45845</v>
      </c>
      <c r="AW75" s="10">
        <v>-287861</v>
      </c>
      <c r="AX75" s="57" t="s">
        <v>397</v>
      </c>
      <c r="AY75" s="2" t="s">
        <v>1563</v>
      </c>
      <c r="BA75" s="2" t="s">
        <v>1564</v>
      </c>
      <c r="BB75" s="10">
        <v>45849.501284722224</v>
      </c>
      <c r="BC75" s="10">
        <v>45849.54483796296</v>
      </c>
      <c r="BD75" s="2" t="s">
        <v>1474</v>
      </c>
      <c r="BE75" s="2" t="s">
        <v>586</v>
      </c>
      <c r="BF75" s="2" t="s">
        <v>1559</v>
      </c>
      <c r="BG75" s="2" t="s">
        <v>1570</v>
      </c>
      <c r="BH75" s="2" t="s">
        <v>1567</v>
      </c>
      <c r="BI75" s="2" t="s">
        <v>1571</v>
      </c>
    </row>
    <row r="76" spans="1:61" ht="39.75" customHeight="1">
      <c r="G76" s="10"/>
      <c r="S76" s="10"/>
      <c r="X76" s="10"/>
      <c r="AV76" s="10"/>
      <c r="AW76" s="10"/>
      <c r="BB76" s="10"/>
      <c r="BC76" s="10"/>
    </row>
    <row r="77" spans="1:61" ht="39.75" customHeight="1">
      <c r="G77" s="10"/>
      <c r="S77" s="10"/>
      <c r="X77" s="10"/>
      <c r="AV77" s="10"/>
      <c r="AW77" s="10"/>
      <c r="BB77" s="10"/>
      <c r="BC77" s="10"/>
    </row>
    <row r="78" spans="1:61" ht="39.75" customHeight="1">
      <c r="G78" s="10"/>
      <c r="S78" s="10"/>
      <c r="X78" s="10"/>
      <c r="AV78" s="10"/>
      <c r="AW78" s="10"/>
      <c r="BB78" s="10"/>
      <c r="BC78" s="10"/>
    </row>
    <row r="79" spans="1:61" ht="39.75" customHeight="1">
      <c r="G79" s="10"/>
      <c r="S79" s="10"/>
      <c r="X79" s="10"/>
      <c r="AV79" s="10"/>
      <c r="AW79" s="10"/>
      <c r="BB79" s="10"/>
      <c r="BC79" s="10"/>
    </row>
    <row r="80" spans="1:61" ht="39.75" customHeight="1">
      <c r="G80" s="10"/>
      <c r="S80" s="10"/>
      <c r="X80" s="10"/>
      <c r="AV80" s="10"/>
      <c r="AW80" s="10"/>
      <c r="BB80" s="10"/>
      <c r="BC80" s="10"/>
    </row>
    <row r="81" spans="7:55" ht="39.75" customHeight="1">
      <c r="G81" s="10"/>
      <c r="S81" s="10"/>
      <c r="X81" s="10"/>
      <c r="AV81" s="10"/>
      <c r="AW81" s="10"/>
      <c r="BB81" s="10"/>
      <c r="BC81" s="10"/>
    </row>
    <row r="82" spans="7:55" ht="39.75" customHeight="1">
      <c r="G82" s="10"/>
      <c r="S82" s="10"/>
      <c r="X82" s="10"/>
      <c r="AV82" s="10"/>
      <c r="AW82" s="10"/>
      <c r="BB82" s="10"/>
      <c r="BC82" s="10"/>
    </row>
    <row r="83" spans="7:55" ht="39.75" customHeight="1">
      <c r="G83" s="10"/>
      <c r="S83" s="10"/>
      <c r="X83" s="10"/>
      <c r="AV83" s="10"/>
      <c r="AW83" s="10"/>
      <c r="BB83" s="10"/>
      <c r="BC83" s="10"/>
    </row>
    <row r="84" spans="7:55" ht="39.75" customHeight="1">
      <c r="G84" s="10"/>
      <c r="S84" s="10"/>
      <c r="X84" s="10"/>
      <c r="AV84" s="10"/>
      <c r="AW84" s="10"/>
      <c r="BB84" s="10"/>
      <c r="BC84" s="10"/>
    </row>
    <row r="85" spans="7:55" ht="39.75" customHeight="1">
      <c r="G85" s="10"/>
      <c r="S85" s="10"/>
      <c r="X85" s="10"/>
      <c r="AV85" s="10"/>
      <c r="AW85" s="10"/>
      <c r="BB85" s="10"/>
      <c r="BC85" s="10"/>
    </row>
    <row r="86" spans="7:55" ht="39.75" customHeight="1">
      <c r="G86" s="10"/>
      <c r="S86" s="10"/>
      <c r="X86" s="10"/>
      <c r="AV86" s="10"/>
      <c r="AW86" s="10"/>
      <c r="BB86" s="10"/>
      <c r="BC86" s="10"/>
    </row>
    <row r="87" spans="7:55" ht="39.75" customHeight="1">
      <c r="G87" s="10"/>
      <c r="S87" s="10"/>
      <c r="X87" s="10"/>
      <c r="AV87" s="10"/>
      <c r="AW87" s="10"/>
      <c r="BB87" s="10"/>
      <c r="BC87" s="10"/>
    </row>
    <row r="88" spans="7:55" ht="39.75" customHeight="1">
      <c r="G88" s="10"/>
      <c r="S88" s="10"/>
      <c r="X88" s="10"/>
      <c r="AV88" s="10"/>
      <c r="AW88" s="10"/>
      <c r="BB88" s="10"/>
      <c r="BC88" s="10"/>
    </row>
    <row r="89" spans="7:55" ht="39.75" customHeight="1">
      <c r="G89" s="10"/>
      <c r="S89" s="10"/>
      <c r="X89" s="10"/>
      <c r="AV89" s="10"/>
      <c r="AW89" s="10"/>
      <c r="BB89" s="10"/>
      <c r="BC89" s="10"/>
    </row>
    <row r="90" spans="7:55" ht="39.75" customHeight="1">
      <c r="G90" s="10"/>
      <c r="S90" s="10"/>
      <c r="X90" s="10"/>
      <c r="AV90" s="10"/>
      <c r="AW90" s="10"/>
      <c r="BB90" s="10"/>
      <c r="BC90" s="10"/>
    </row>
    <row r="91" spans="7:55" ht="39.75" customHeight="1">
      <c r="G91" s="10"/>
      <c r="S91" s="10"/>
      <c r="X91" s="10"/>
      <c r="AV91" s="10"/>
      <c r="AW91" s="10"/>
      <c r="BB91" s="10"/>
      <c r="BC91" s="10"/>
    </row>
    <row r="92" spans="7:55" ht="39.75" customHeight="1">
      <c r="G92" s="10"/>
      <c r="S92" s="10"/>
      <c r="X92" s="10"/>
      <c r="AV92" s="10"/>
      <c r="AW92" s="10"/>
      <c r="BB92" s="10"/>
      <c r="BC92" s="10"/>
    </row>
    <row r="93" spans="7:55" ht="39.75" customHeight="1">
      <c r="G93" s="10"/>
      <c r="S93" s="10"/>
      <c r="X93" s="10"/>
      <c r="AV93" s="10"/>
      <c r="AW93" s="10"/>
      <c r="BB93" s="10"/>
      <c r="BC93" s="10"/>
    </row>
    <row r="94" spans="7:55" ht="39.75" customHeight="1">
      <c r="G94" s="10"/>
      <c r="S94" s="10"/>
      <c r="X94" s="10"/>
      <c r="AV94" s="10"/>
      <c r="AW94" s="10"/>
      <c r="BB94" s="10"/>
      <c r="BC94" s="10"/>
    </row>
    <row r="95" spans="7:55" ht="39.75" customHeight="1">
      <c r="G95" s="10"/>
      <c r="S95" s="10"/>
      <c r="X95" s="10"/>
      <c r="AV95" s="10"/>
      <c r="AW95" s="10"/>
      <c r="BB95" s="10"/>
      <c r="BC95" s="10"/>
    </row>
    <row r="96" spans="7:55" ht="39.75" customHeight="1">
      <c r="G96" s="10"/>
      <c r="S96" s="10"/>
      <c r="X96" s="10"/>
      <c r="AV96" s="10"/>
      <c r="AW96" s="10"/>
      <c r="BB96" s="10"/>
      <c r="BC96" s="10"/>
    </row>
    <row r="97" spans="7:56" ht="39.75" customHeight="1">
      <c r="G97" s="10"/>
      <c r="S97" s="10"/>
      <c r="X97" s="10"/>
      <c r="AV97" s="10"/>
      <c r="AW97" s="10"/>
      <c r="BB97" s="10"/>
      <c r="BC97" s="10"/>
    </row>
    <row r="98" spans="7:56" ht="39.75" customHeight="1">
      <c r="G98" s="10"/>
      <c r="S98" s="10"/>
      <c r="X98" s="10"/>
      <c r="AV98" s="10"/>
      <c r="AW98" s="10"/>
      <c r="BB98" s="10"/>
      <c r="BC98" s="10"/>
    </row>
    <row r="99" spans="7:56" ht="39.75" customHeight="1">
      <c r="G99" s="10"/>
      <c r="H99" s="10"/>
      <c r="I99" s="10"/>
      <c r="J99" s="10"/>
      <c r="K99" s="10"/>
      <c r="L99" s="10"/>
      <c r="M99" s="10"/>
      <c r="O99" s="10"/>
      <c r="P99" s="10"/>
      <c r="R99" s="10"/>
      <c r="S99" s="10"/>
      <c r="T99" s="10"/>
      <c r="V99" s="10"/>
      <c r="W99" s="10"/>
      <c r="X99" s="10"/>
      <c r="Y99" s="10"/>
      <c r="Z99" s="10"/>
      <c r="AA99" s="10"/>
      <c r="AB99" s="10"/>
      <c r="AC99" s="10"/>
      <c r="AD99" s="10"/>
      <c r="AF99" s="10"/>
      <c r="AG99" s="10"/>
      <c r="AH99" s="10"/>
      <c r="AI99" s="10"/>
      <c r="AJ99" s="10"/>
      <c r="AK99" s="10"/>
      <c r="AL99" s="10"/>
      <c r="AM99" s="10"/>
      <c r="AN99" s="10"/>
      <c r="AO99" s="10"/>
      <c r="AP99" s="10"/>
      <c r="AQ99" s="10"/>
      <c r="AR99" s="10"/>
      <c r="AS99" s="10"/>
      <c r="AT99" s="10"/>
      <c r="AU99" s="10"/>
      <c r="AV99" s="10"/>
      <c r="AW99" s="10"/>
      <c r="AX99" s="10"/>
      <c r="AY99" s="10"/>
      <c r="AZ99" s="10"/>
      <c r="BA99" s="10"/>
      <c r="BB99" s="10"/>
      <c r="BC99" s="10"/>
      <c r="BD99" s="10"/>
    </row>
    <row r="100" spans="7:56" ht="39.75" customHeight="1">
      <c r="G100" s="10"/>
      <c r="H100" s="10"/>
      <c r="I100" s="10"/>
      <c r="J100" s="10"/>
      <c r="K100" s="10"/>
      <c r="L100" s="10"/>
      <c r="M100" s="10"/>
      <c r="O100" s="10"/>
      <c r="P100" s="10"/>
      <c r="R100" s="10"/>
      <c r="S100" s="10"/>
      <c r="T100" s="10"/>
      <c r="V100" s="10"/>
      <c r="W100" s="10"/>
      <c r="X100" s="10"/>
      <c r="Y100" s="10"/>
      <c r="Z100" s="10"/>
      <c r="AA100" s="10"/>
      <c r="AB100" s="10"/>
      <c r="AC100" s="10"/>
      <c r="AD100" s="10"/>
      <c r="AF100" s="10"/>
      <c r="AG100" s="10"/>
      <c r="AH100" s="10"/>
      <c r="AI100" s="10"/>
      <c r="AJ100" s="10"/>
      <c r="AK100" s="10"/>
      <c r="AL100" s="10"/>
      <c r="AM100" s="10"/>
      <c r="AN100" s="10"/>
      <c r="AO100" s="10"/>
      <c r="AP100" s="10"/>
      <c r="AQ100" s="10"/>
      <c r="AR100" s="10"/>
      <c r="AS100" s="10"/>
      <c r="AT100" s="10"/>
      <c r="AU100" s="10"/>
      <c r="AV100" s="10"/>
      <c r="AW100" s="10"/>
      <c r="AX100" s="10"/>
      <c r="AY100" s="10"/>
      <c r="AZ100" s="10"/>
      <c r="BA100" s="10"/>
      <c r="BB100" s="10"/>
      <c r="BC100" s="10"/>
      <c r="BD100" s="10"/>
    </row>
    <row r="101" spans="7:56" ht="39.75" customHeight="1">
      <c r="G101" s="10"/>
      <c r="H101" s="10"/>
      <c r="I101" s="10"/>
      <c r="J101" s="10"/>
      <c r="K101" s="10"/>
      <c r="L101" s="10"/>
      <c r="M101" s="10"/>
      <c r="O101" s="10"/>
      <c r="P101" s="10"/>
      <c r="R101" s="10"/>
      <c r="S101" s="10"/>
      <c r="T101" s="10"/>
      <c r="V101" s="10"/>
      <c r="W101" s="10"/>
      <c r="X101" s="10"/>
      <c r="Y101" s="10"/>
      <c r="Z101" s="10"/>
      <c r="AA101" s="10"/>
      <c r="AB101" s="10"/>
      <c r="AC101" s="10"/>
      <c r="AD101" s="10"/>
      <c r="AF101" s="10"/>
      <c r="AG101" s="10"/>
      <c r="AH101" s="10"/>
      <c r="AI101" s="10"/>
      <c r="AJ101" s="10"/>
      <c r="AK101" s="10"/>
      <c r="AL101" s="10"/>
      <c r="AM101" s="10"/>
      <c r="AN101" s="10"/>
      <c r="AO101" s="10"/>
      <c r="AP101" s="10"/>
      <c r="AQ101" s="10"/>
      <c r="AR101" s="10"/>
      <c r="AS101" s="10"/>
      <c r="AT101" s="10"/>
      <c r="AU101" s="10"/>
      <c r="AV101" s="10"/>
      <c r="AW101" s="10"/>
      <c r="AX101" s="10"/>
      <c r="AY101" s="10"/>
      <c r="AZ101" s="10"/>
      <c r="BA101" s="10"/>
      <c r="BB101" s="10"/>
      <c r="BC101" s="10"/>
      <c r="BD101" s="10"/>
    </row>
    <row r="102" spans="7:56" ht="39.75" customHeight="1">
      <c r="G102" s="10"/>
      <c r="H102" s="10"/>
      <c r="I102" s="10"/>
      <c r="J102" s="10"/>
      <c r="K102" s="10"/>
      <c r="L102" s="10"/>
      <c r="M102" s="10"/>
      <c r="O102" s="10"/>
      <c r="P102" s="10"/>
      <c r="R102" s="10"/>
      <c r="S102" s="10"/>
      <c r="T102" s="10"/>
      <c r="V102" s="10"/>
      <c r="W102" s="10"/>
      <c r="X102" s="10"/>
      <c r="Y102" s="10"/>
      <c r="Z102" s="10"/>
      <c r="AA102" s="10"/>
      <c r="AB102" s="10"/>
      <c r="AC102" s="10"/>
      <c r="AD102" s="10"/>
      <c r="AF102" s="10"/>
      <c r="AG102" s="10"/>
      <c r="AH102" s="10"/>
      <c r="AI102" s="10"/>
      <c r="AJ102" s="10"/>
      <c r="AK102" s="10"/>
      <c r="AL102" s="10"/>
      <c r="AM102" s="10"/>
      <c r="AN102" s="10"/>
      <c r="AO102" s="10"/>
      <c r="AP102" s="10"/>
      <c r="AQ102" s="10"/>
      <c r="AR102" s="10"/>
      <c r="AS102" s="10"/>
      <c r="AT102" s="10"/>
      <c r="AU102" s="10"/>
      <c r="AV102" s="10"/>
      <c r="AW102" s="10"/>
      <c r="AX102" s="10"/>
      <c r="AY102" s="10"/>
      <c r="AZ102" s="10"/>
      <c r="BA102" s="10"/>
      <c r="BB102" s="10"/>
      <c r="BC102" s="10"/>
      <c r="BD102" s="10"/>
    </row>
    <row r="103" spans="7:56" ht="39.75" customHeight="1">
      <c r="G103" s="10"/>
      <c r="H103" s="10"/>
      <c r="I103" s="10"/>
      <c r="J103" s="10"/>
      <c r="K103" s="10"/>
      <c r="L103" s="10"/>
      <c r="M103" s="10"/>
      <c r="O103" s="10"/>
      <c r="P103" s="10"/>
      <c r="R103" s="10"/>
      <c r="S103" s="10"/>
      <c r="T103" s="10"/>
      <c r="V103" s="10"/>
      <c r="W103" s="10"/>
      <c r="X103" s="10"/>
      <c r="Y103" s="10"/>
      <c r="Z103" s="10"/>
      <c r="AA103" s="10"/>
      <c r="AB103" s="10"/>
      <c r="AC103" s="10"/>
      <c r="AD103" s="10"/>
      <c r="AF103" s="10"/>
      <c r="AG103" s="10"/>
      <c r="AH103" s="10"/>
      <c r="AI103" s="10"/>
      <c r="AJ103" s="10"/>
      <c r="AK103" s="10"/>
      <c r="AL103" s="10"/>
      <c r="AM103" s="10"/>
      <c r="AN103" s="10"/>
      <c r="AO103" s="10"/>
      <c r="AP103" s="10"/>
      <c r="AQ103" s="10"/>
      <c r="AR103" s="10"/>
      <c r="AS103" s="10"/>
      <c r="AT103" s="10"/>
      <c r="AU103" s="10"/>
      <c r="AV103" s="10"/>
      <c r="AW103" s="10"/>
      <c r="AX103" s="10"/>
      <c r="AY103" s="10"/>
      <c r="AZ103" s="10"/>
      <c r="BA103" s="10"/>
      <c r="BB103" s="10"/>
      <c r="BC103" s="10"/>
      <c r="BD103" s="10"/>
    </row>
    <row r="104" spans="7:56" ht="39.75" customHeight="1">
      <c r="G104" s="10"/>
      <c r="H104" s="10"/>
      <c r="I104" s="10"/>
      <c r="J104" s="10"/>
      <c r="K104" s="10"/>
      <c r="L104" s="10"/>
      <c r="M104" s="10"/>
      <c r="O104" s="10"/>
      <c r="P104" s="10"/>
      <c r="R104" s="10"/>
      <c r="S104" s="10"/>
      <c r="T104" s="10"/>
      <c r="V104" s="10"/>
      <c r="W104" s="10"/>
      <c r="X104" s="10"/>
      <c r="Y104" s="10"/>
      <c r="Z104" s="10"/>
      <c r="AA104" s="10"/>
      <c r="AB104" s="10"/>
      <c r="AC104" s="10"/>
      <c r="AD104" s="10"/>
      <c r="AF104" s="10"/>
      <c r="AG104" s="10"/>
      <c r="AH104" s="10"/>
      <c r="AI104" s="10"/>
      <c r="AJ104" s="10"/>
      <c r="AK104" s="10"/>
      <c r="AL104" s="10"/>
      <c r="AM104" s="10"/>
      <c r="AN104" s="10"/>
      <c r="AO104" s="10"/>
      <c r="AP104" s="10"/>
      <c r="AQ104" s="10"/>
      <c r="AR104" s="10"/>
      <c r="AS104" s="10"/>
      <c r="AT104" s="10"/>
      <c r="AU104" s="10"/>
      <c r="AV104" s="10"/>
      <c r="AW104" s="10"/>
      <c r="AX104" s="10"/>
      <c r="AY104" s="10"/>
      <c r="AZ104" s="10"/>
      <c r="BA104" s="10"/>
      <c r="BB104" s="10"/>
      <c r="BC104" s="10"/>
      <c r="BD104" s="10"/>
    </row>
    <row r="105" spans="7:56" ht="39.75" customHeight="1">
      <c r="G105" s="10"/>
      <c r="H105" s="10"/>
      <c r="I105" s="10"/>
      <c r="J105" s="10"/>
      <c r="K105" s="10"/>
      <c r="L105" s="10"/>
      <c r="M105" s="10"/>
      <c r="O105" s="10"/>
      <c r="P105" s="10"/>
      <c r="R105" s="10"/>
      <c r="S105" s="10"/>
      <c r="T105" s="10"/>
      <c r="V105" s="10"/>
      <c r="W105" s="10"/>
      <c r="X105" s="10"/>
      <c r="Y105" s="10"/>
      <c r="Z105" s="10"/>
      <c r="AA105" s="10"/>
      <c r="AB105" s="10"/>
      <c r="AC105" s="10"/>
      <c r="AD105" s="10"/>
      <c r="AF105" s="10"/>
      <c r="AG105" s="10"/>
      <c r="AH105" s="10"/>
      <c r="AI105" s="10"/>
      <c r="AJ105" s="10"/>
      <c r="AK105" s="10"/>
      <c r="AL105" s="10"/>
      <c r="AM105" s="10"/>
      <c r="AN105" s="10"/>
      <c r="AO105" s="10"/>
      <c r="AP105" s="10"/>
      <c r="AQ105" s="10"/>
      <c r="AR105" s="10"/>
      <c r="AS105" s="10"/>
      <c r="AT105" s="10"/>
      <c r="AU105" s="10"/>
      <c r="AV105" s="10"/>
      <c r="AW105" s="10"/>
      <c r="AX105" s="10"/>
      <c r="AY105" s="10"/>
      <c r="AZ105" s="10"/>
      <c r="BA105" s="10"/>
      <c r="BB105" s="10"/>
      <c r="BC105" s="10"/>
      <c r="BD105" s="10"/>
    </row>
    <row r="106" spans="7:56" ht="39.75" customHeight="1">
      <c r="G106" s="10"/>
      <c r="H106" s="10"/>
      <c r="I106" s="10"/>
      <c r="J106" s="10"/>
      <c r="K106" s="10"/>
      <c r="L106" s="10"/>
      <c r="M106" s="10"/>
      <c r="O106" s="10"/>
      <c r="P106" s="10"/>
      <c r="R106" s="10"/>
      <c r="S106" s="10"/>
      <c r="T106" s="10"/>
      <c r="V106" s="10"/>
      <c r="W106" s="10"/>
      <c r="X106" s="10"/>
      <c r="Y106" s="10"/>
      <c r="Z106" s="10"/>
      <c r="AA106" s="10"/>
      <c r="AB106" s="10"/>
      <c r="AC106" s="10"/>
      <c r="AD106" s="10"/>
      <c r="AF106" s="10"/>
      <c r="AG106" s="10"/>
      <c r="AH106" s="10"/>
      <c r="AI106" s="10"/>
      <c r="AJ106" s="10"/>
      <c r="AK106" s="10"/>
      <c r="AL106" s="10"/>
      <c r="AM106" s="10"/>
      <c r="AN106" s="10"/>
      <c r="AO106" s="10"/>
      <c r="AP106" s="10"/>
      <c r="AQ106" s="10"/>
      <c r="AR106" s="10"/>
      <c r="AS106" s="10"/>
      <c r="AT106" s="10"/>
      <c r="AU106" s="10"/>
      <c r="AV106" s="10"/>
      <c r="AW106" s="10"/>
      <c r="AX106" s="10"/>
      <c r="AY106" s="10"/>
      <c r="AZ106" s="10"/>
      <c r="BA106" s="10"/>
      <c r="BB106" s="10"/>
      <c r="BC106" s="10"/>
      <c r="BD106" s="10"/>
    </row>
    <row r="107" spans="7:56" ht="39.75" customHeight="1">
      <c r="G107" s="10"/>
      <c r="H107" s="10"/>
      <c r="I107" s="10"/>
      <c r="J107" s="10"/>
      <c r="K107" s="10"/>
      <c r="L107" s="10"/>
      <c r="M107" s="10"/>
      <c r="O107" s="10"/>
      <c r="P107" s="10"/>
      <c r="R107" s="10"/>
      <c r="S107" s="10"/>
      <c r="T107" s="10"/>
      <c r="V107" s="10"/>
      <c r="W107" s="10"/>
      <c r="X107" s="10"/>
      <c r="Y107" s="10"/>
      <c r="Z107" s="10"/>
      <c r="AA107" s="10"/>
      <c r="AB107" s="10"/>
      <c r="AC107" s="10"/>
      <c r="AD107" s="10"/>
      <c r="AF107" s="10"/>
      <c r="AG107" s="10"/>
      <c r="AH107" s="10"/>
      <c r="AI107" s="10"/>
      <c r="AJ107" s="10"/>
      <c r="AK107" s="10"/>
      <c r="AL107" s="10"/>
      <c r="AM107" s="10"/>
      <c r="AN107" s="10"/>
      <c r="AO107" s="10"/>
      <c r="AP107" s="10"/>
      <c r="AQ107" s="10"/>
      <c r="AR107" s="10"/>
      <c r="AS107" s="10"/>
      <c r="AT107" s="10"/>
      <c r="AU107" s="10"/>
      <c r="AV107" s="10"/>
      <c r="AW107" s="10"/>
      <c r="AX107" s="10"/>
      <c r="AY107" s="10"/>
      <c r="AZ107" s="10"/>
      <c r="BA107" s="10"/>
      <c r="BB107" s="10"/>
      <c r="BC107" s="10"/>
      <c r="BD107" s="10"/>
    </row>
    <row r="108" spans="7:56" ht="39.75" customHeight="1">
      <c r="G108" s="10"/>
      <c r="H108" s="10"/>
      <c r="I108" s="10"/>
      <c r="J108" s="10"/>
      <c r="K108" s="10"/>
      <c r="L108" s="10"/>
      <c r="M108" s="10"/>
      <c r="O108" s="10"/>
      <c r="P108" s="10"/>
      <c r="R108" s="10"/>
      <c r="S108" s="10"/>
      <c r="T108" s="10"/>
      <c r="V108" s="10"/>
      <c r="W108" s="10"/>
      <c r="X108" s="10"/>
      <c r="Y108" s="10"/>
      <c r="Z108" s="10"/>
      <c r="AA108" s="10"/>
      <c r="AB108" s="10"/>
      <c r="AC108" s="10"/>
      <c r="AD108" s="10"/>
      <c r="AF108" s="10"/>
      <c r="AG108" s="10"/>
      <c r="AH108" s="10"/>
      <c r="AI108" s="10"/>
      <c r="AJ108" s="10"/>
      <c r="AK108" s="10"/>
      <c r="AL108" s="10"/>
      <c r="AM108" s="10"/>
      <c r="AN108" s="10"/>
      <c r="AO108" s="10"/>
      <c r="AP108" s="10"/>
      <c r="AQ108" s="10"/>
      <c r="AR108" s="10"/>
      <c r="AS108" s="10"/>
      <c r="AT108" s="10"/>
      <c r="AU108" s="10"/>
      <c r="AV108" s="10"/>
      <c r="AW108" s="10"/>
      <c r="AX108" s="10"/>
      <c r="AY108" s="10"/>
      <c r="AZ108" s="10"/>
      <c r="BA108" s="10"/>
      <c r="BB108" s="10"/>
      <c r="BC108" s="10"/>
      <c r="BD108" s="10"/>
    </row>
    <row r="109" spans="7:56" ht="39.75" customHeight="1">
      <c r="G109" s="10"/>
      <c r="H109" s="10"/>
      <c r="I109" s="10"/>
      <c r="J109" s="10"/>
      <c r="K109" s="10"/>
      <c r="L109" s="10"/>
      <c r="M109" s="10"/>
      <c r="O109" s="10"/>
      <c r="P109" s="10"/>
      <c r="R109" s="10"/>
      <c r="S109" s="10"/>
      <c r="T109" s="10"/>
      <c r="V109" s="10"/>
      <c r="W109" s="10"/>
      <c r="X109" s="10"/>
      <c r="Y109" s="10"/>
      <c r="Z109" s="10"/>
      <c r="AA109" s="10"/>
      <c r="AB109" s="10"/>
      <c r="AC109" s="10"/>
      <c r="AD109" s="10"/>
      <c r="AF109" s="10"/>
      <c r="AG109" s="10"/>
      <c r="AH109" s="10"/>
      <c r="AI109" s="10"/>
      <c r="AJ109" s="10"/>
      <c r="AK109" s="10"/>
      <c r="AL109" s="10"/>
      <c r="AM109" s="10"/>
      <c r="AN109" s="10"/>
      <c r="AO109" s="10"/>
      <c r="AP109" s="10"/>
      <c r="AQ109" s="10"/>
      <c r="AR109" s="10"/>
      <c r="AS109" s="10"/>
      <c r="AT109" s="10"/>
      <c r="AU109" s="10"/>
      <c r="AV109" s="10"/>
      <c r="AW109" s="10"/>
      <c r="AX109" s="10"/>
      <c r="AY109" s="10"/>
      <c r="AZ109" s="10"/>
      <c r="BA109" s="10"/>
      <c r="BB109" s="10"/>
      <c r="BC109" s="10"/>
      <c r="BD109" s="10"/>
    </row>
    <row r="110" spans="7:56" ht="39.75" customHeight="1">
      <c r="G110" s="10"/>
      <c r="H110" s="10"/>
      <c r="I110" s="10"/>
      <c r="J110" s="10"/>
      <c r="K110" s="10"/>
      <c r="L110" s="10"/>
      <c r="M110" s="10"/>
      <c r="O110" s="10"/>
      <c r="P110" s="10"/>
      <c r="R110" s="10"/>
      <c r="S110" s="10"/>
      <c r="T110" s="10"/>
      <c r="V110" s="10"/>
      <c r="W110" s="10"/>
      <c r="X110" s="10"/>
      <c r="Y110" s="10"/>
      <c r="Z110" s="10"/>
      <c r="AA110" s="10"/>
      <c r="AB110" s="10"/>
      <c r="AC110" s="10"/>
      <c r="AD110" s="10"/>
      <c r="AF110" s="10"/>
      <c r="AG110" s="10"/>
      <c r="AH110" s="10"/>
      <c r="AI110" s="10"/>
      <c r="AJ110" s="10"/>
      <c r="AK110" s="10"/>
      <c r="AL110" s="10"/>
      <c r="AM110" s="10"/>
      <c r="AN110" s="10"/>
      <c r="AO110" s="10"/>
      <c r="AP110" s="10"/>
      <c r="AQ110" s="10"/>
      <c r="AR110" s="10"/>
      <c r="AS110" s="10"/>
      <c r="AT110" s="10"/>
      <c r="AU110" s="10"/>
      <c r="AV110" s="10"/>
      <c r="AW110" s="10"/>
      <c r="AX110" s="10"/>
      <c r="AY110" s="10"/>
      <c r="AZ110" s="10"/>
      <c r="BA110" s="10"/>
      <c r="BB110" s="10"/>
      <c r="BC110" s="10"/>
      <c r="BD110" s="10"/>
    </row>
    <row r="111" spans="7:56" ht="39.75" customHeight="1">
      <c r="G111" s="10"/>
      <c r="H111" s="10"/>
      <c r="I111" s="10"/>
      <c r="J111" s="10"/>
      <c r="K111" s="10"/>
      <c r="L111" s="10"/>
      <c r="M111" s="10"/>
      <c r="O111" s="10"/>
      <c r="P111" s="10"/>
      <c r="R111" s="10"/>
      <c r="S111" s="10"/>
      <c r="T111" s="10"/>
      <c r="V111" s="10"/>
      <c r="W111" s="10"/>
      <c r="X111" s="10"/>
      <c r="Y111" s="10"/>
      <c r="Z111" s="10"/>
      <c r="AA111" s="10"/>
      <c r="AB111" s="10"/>
      <c r="AC111" s="10"/>
      <c r="AD111" s="10"/>
      <c r="AF111" s="10"/>
      <c r="AG111" s="10"/>
      <c r="AH111" s="10"/>
      <c r="AI111" s="10"/>
      <c r="AJ111" s="10"/>
      <c r="AK111" s="10"/>
      <c r="AL111" s="10"/>
      <c r="AM111" s="10"/>
      <c r="AN111" s="10"/>
      <c r="AO111" s="10"/>
      <c r="AP111" s="10"/>
      <c r="AQ111" s="10"/>
      <c r="AR111" s="10"/>
      <c r="AS111" s="10"/>
      <c r="AT111" s="10"/>
      <c r="AU111" s="10"/>
      <c r="AV111" s="10"/>
      <c r="AW111" s="10"/>
      <c r="AX111" s="10"/>
      <c r="AY111" s="10"/>
      <c r="AZ111" s="10"/>
      <c r="BA111" s="10"/>
      <c r="BB111" s="10"/>
      <c r="BC111" s="10"/>
      <c r="BD111" s="10"/>
    </row>
    <row r="112" spans="7:56" ht="39.75" customHeight="1">
      <c r="G112" s="10"/>
      <c r="H112" s="10"/>
      <c r="I112" s="10"/>
      <c r="J112" s="10"/>
      <c r="K112" s="10"/>
      <c r="L112" s="10"/>
      <c r="M112" s="10"/>
      <c r="O112" s="10"/>
      <c r="P112" s="10"/>
      <c r="R112" s="10"/>
      <c r="S112" s="10"/>
      <c r="T112" s="10"/>
      <c r="V112" s="10"/>
      <c r="W112" s="10"/>
      <c r="X112" s="10"/>
      <c r="Y112" s="10"/>
      <c r="Z112" s="10"/>
      <c r="AA112" s="10"/>
      <c r="AB112" s="10"/>
      <c r="AC112" s="10"/>
      <c r="AD112" s="10"/>
      <c r="AF112" s="10"/>
      <c r="AG112" s="10"/>
      <c r="AH112" s="10"/>
      <c r="AI112" s="10"/>
      <c r="AJ112" s="10"/>
      <c r="AK112" s="10"/>
      <c r="AL112" s="10"/>
      <c r="AM112" s="10"/>
      <c r="AN112" s="10"/>
      <c r="AO112" s="10"/>
      <c r="AP112" s="10"/>
      <c r="AQ112" s="10"/>
      <c r="AR112" s="10"/>
      <c r="AS112" s="10"/>
      <c r="AT112" s="10"/>
      <c r="AU112" s="10"/>
      <c r="AV112" s="10"/>
      <c r="AW112" s="10"/>
      <c r="AX112" s="10"/>
      <c r="AY112" s="10"/>
      <c r="AZ112" s="10"/>
      <c r="BA112" s="10"/>
      <c r="BB112" s="10"/>
      <c r="BC112" s="10"/>
      <c r="BD112" s="10"/>
    </row>
    <row r="113" spans="7:56" ht="39.75" customHeight="1">
      <c r="G113" s="10"/>
      <c r="H113" s="10"/>
      <c r="I113" s="10"/>
      <c r="J113" s="10"/>
      <c r="K113" s="10"/>
      <c r="L113" s="10"/>
      <c r="M113" s="10"/>
      <c r="O113" s="10"/>
      <c r="P113" s="10"/>
      <c r="R113" s="10"/>
      <c r="S113" s="10"/>
      <c r="T113" s="10"/>
      <c r="V113" s="10"/>
      <c r="W113" s="10"/>
      <c r="X113" s="10"/>
      <c r="Y113" s="10"/>
      <c r="Z113" s="10"/>
      <c r="AA113" s="10"/>
      <c r="AB113" s="10"/>
      <c r="AC113" s="10"/>
      <c r="AD113" s="10"/>
      <c r="AF113" s="10"/>
      <c r="AG113" s="10"/>
      <c r="AH113" s="10"/>
      <c r="AI113" s="10"/>
      <c r="AJ113" s="10"/>
      <c r="AK113" s="10"/>
      <c r="AL113" s="10"/>
      <c r="AM113" s="10"/>
      <c r="AN113" s="10"/>
      <c r="AO113" s="10"/>
      <c r="AP113" s="10"/>
      <c r="AQ113" s="10"/>
      <c r="AR113" s="10"/>
      <c r="AS113" s="10"/>
      <c r="AT113" s="10"/>
      <c r="AU113" s="10"/>
      <c r="AV113" s="10"/>
      <c r="AW113" s="10"/>
      <c r="AX113" s="10"/>
      <c r="AY113" s="10"/>
      <c r="AZ113" s="10"/>
      <c r="BA113" s="10"/>
      <c r="BB113" s="10"/>
      <c r="BC113" s="10"/>
      <c r="BD113" s="10"/>
    </row>
    <row r="114" spans="7:56" ht="39.75" customHeight="1">
      <c r="G114" s="10"/>
      <c r="H114" s="10"/>
      <c r="I114" s="10"/>
      <c r="J114" s="10"/>
      <c r="K114" s="10"/>
      <c r="L114" s="10"/>
      <c r="M114" s="10"/>
      <c r="O114" s="10"/>
      <c r="P114" s="10"/>
      <c r="R114" s="10"/>
      <c r="S114" s="10"/>
      <c r="T114" s="10"/>
      <c r="V114" s="10"/>
      <c r="W114" s="10"/>
      <c r="X114" s="10"/>
      <c r="Y114" s="10"/>
      <c r="Z114" s="10"/>
      <c r="AA114" s="10"/>
      <c r="AB114" s="10"/>
      <c r="AC114" s="10"/>
      <c r="AD114" s="10"/>
      <c r="AF114" s="10"/>
      <c r="AG114" s="10"/>
      <c r="AH114" s="10"/>
      <c r="AI114" s="10"/>
      <c r="AJ114" s="10"/>
      <c r="AK114" s="10"/>
      <c r="AL114" s="10"/>
      <c r="AM114" s="10"/>
      <c r="AN114" s="10"/>
      <c r="AO114" s="10"/>
      <c r="AP114" s="10"/>
      <c r="AQ114" s="10"/>
      <c r="AR114" s="10"/>
      <c r="AS114" s="10"/>
      <c r="AT114" s="10"/>
      <c r="AU114" s="10"/>
      <c r="AV114" s="10"/>
      <c r="AW114" s="10"/>
      <c r="AX114" s="10"/>
      <c r="AY114" s="10"/>
      <c r="AZ114" s="10"/>
      <c r="BA114" s="10"/>
      <c r="BB114" s="10"/>
      <c r="BC114" s="10"/>
      <c r="BD114" s="10"/>
    </row>
    <row r="115" spans="7:56" ht="39.75" customHeight="1">
      <c r="G115" s="10"/>
      <c r="H115" s="10"/>
      <c r="I115" s="10"/>
      <c r="J115" s="10"/>
      <c r="K115" s="10"/>
      <c r="L115" s="10"/>
      <c r="M115" s="10"/>
      <c r="O115" s="10"/>
      <c r="P115" s="10"/>
      <c r="R115" s="10"/>
      <c r="S115" s="10"/>
      <c r="T115" s="10"/>
      <c r="V115" s="10"/>
      <c r="W115" s="10"/>
      <c r="X115" s="10"/>
      <c r="Y115" s="10"/>
      <c r="Z115" s="10"/>
      <c r="AA115" s="10"/>
      <c r="AB115" s="10"/>
      <c r="AC115" s="10"/>
      <c r="AD115" s="10"/>
      <c r="AF115" s="10"/>
      <c r="AG115" s="10"/>
      <c r="AH115" s="10"/>
      <c r="AI115" s="10"/>
      <c r="AJ115" s="10"/>
      <c r="AK115" s="10"/>
      <c r="AL115" s="10"/>
      <c r="AM115" s="10"/>
      <c r="AN115" s="10"/>
      <c r="AO115" s="10"/>
      <c r="AP115" s="10"/>
      <c r="AQ115" s="10"/>
      <c r="AR115" s="10"/>
      <c r="AS115" s="10"/>
      <c r="AT115" s="10"/>
      <c r="AU115" s="10"/>
      <c r="AV115" s="10"/>
      <c r="AW115" s="10"/>
      <c r="AX115" s="10"/>
      <c r="AY115" s="10"/>
      <c r="AZ115" s="10"/>
      <c r="BA115" s="10"/>
      <c r="BB115" s="10"/>
      <c r="BC115" s="10"/>
      <c r="BD115" s="10"/>
    </row>
    <row r="116" spans="7:56" ht="39.75" customHeight="1">
      <c r="G116" s="10"/>
      <c r="H116" s="10"/>
      <c r="I116" s="10"/>
      <c r="J116" s="10"/>
      <c r="K116" s="10"/>
      <c r="L116" s="10"/>
      <c r="M116" s="10"/>
      <c r="O116" s="10"/>
      <c r="P116" s="10"/>
      <c r="R116" s="10"/>
      <c r="S116" s="10"/>
      <c r="T116" s="10"/>
      <c r="V116" s="10"/>
      <c r="W116" s="10"/>
      <c r="X116" s="10"/>
      <c r="Y116" s="10"/>
      <c r="Z116" s="10"/>
      <c r="AA116" s="10"/>
      <c r="AB116" s="10"/>
      <c r="AC116" s="10"/>
      <c r="AD116" s="10"/>
      <c r="AF116" s="10"/>
      <c r="AG116" s="10"/>
      <c r="AH116" s="10"/>
      <c r="AI116" s="10"/>
      <c r="AJ116" s="10"/>
      <c r="AK116" s="10"/>
      <c r="AL116" s="10"/>
      <c r="AM116" s="10"/>
      <c r="AN116" s="10"/>
      <c r="AO116" s="10"/>
      <c r="AP116" s="10"/>
      <c r="AQ116" s="10"/>
      <c r="AR116" s="10"/>
      <c r="AS116" s="10"/>
      <c r="AT116" s="10"/>
      <c r="AU116" s="10"/>
      <c r="AV116" s="10"/>
      <c r="AW116" s="10"/>
      <c r="AX116" s="10"/>
      <c r="AY116" s="10"/>
      <c r="AZ116" s="10"/>
      <c r="BA116" s="10"/>
      <c r="BB116" s="10"/>
      <c r="BC116" s="10"/>
      <c r="BD116" s="10"/>
    </row>
    <row r="117" spans="7:56" ht="39.75" customHeight="1">
      <c r="G117" s="10"/>
      <c r="H117" s="10"/>
      <c r="I117" s="10"/>
      <c r="J117" s="10"/>
      <c r="K117" s="10"/>
      <c r="L117" s="10"/>
      <c r="M117" s="10"/>
      <c r="O117" s="10"/>
      <c r="P117" s="10"/>
      <c r="R117" s="10"/>
      <c r="S117" s="10"/>
      <c r="T117" s="10"/>
      <c r="V117" s="10"/>
      <c r="W117" s="10"/>
      <c r="X117" s="10"/>
      <c r="Y117" s="10"/>
      <c r="Z117" s="10"/>
      <c r="AA117" s="10"/>
      <c r="AB117" s="10"/>
      <c r="AC117" s="10"/>
      <c r="AD117" s="10"/>
      <c r="AF117" s="10"/>
      <c r="AG117" s="10"/>
      <c r="AH117" s="10"/>
      <c r="AI117" s="10"/>
      <c r="AJ117" s="10"/>
      <c r="AK117" s="10"/>
      <c r="AL117" s="10"/>
      <c r="AM117" s="10"/>
      <c r="AN117" s="10"/>
      <c r="AO117" s="10"/>
      <c r="AP117" s="10"/>
      <c r="AQ117" s="10"/>
      <c r="AR117" s="10"/>
      <c r="AS117" s="10"/>
      <c r="AT117" s="10"/>
      <c r="AU117" s="10"/>
      <c r="AV117" s="10"/>
      <c r="AW117" s="10"/>
      <c r="AX117" s="10"/>
      <c r="AY117" s="10"/>
      <c r="AZ117" s="10"/>
      <c r="BA117" s="10"/>
      <c r="BB117" s="10"/>
      <c r="BC117" s="10"/>
      <c r="BD117" s="10"/>
    </row>
    <row r="118" spans="7:56" ht="39.75" customHeight="1">
      <c r="G118" s="10"/>
      <c r="H118" s="10"/>
      <c r="I118" s="10"/>
      <c r="J118" s="10"/>
      <c r="K118" s="10"/>
      <c r="L118" s="10"/>
      <c r="M118" s="10"/>
      <c r="O118" s="10"/>
      <c r="P118" s="10"/>
      <c r="R118" s="10"/>
      <c r="S118" s="10"/>
      <c r="T118" s="10"/>
      <c r="V118" s="10"/>
      <c r="W118" s="10"/>
      <c r="X118" s="10"/>
      <c r="Y118" s="10"/>
      <c r="Z118" s="10"/>
      <c r="AA118" s="10"/>
      <c r="AB118" s="10"/>
      <c r="AC118" s="10"/>
      <c r="AD118" s="10"/>
      <c r="AF118" s="10"/>
      <c r="AG118" s="10"/>
      <c r="AH118" s="10"/>
      <c r="AI118" s="10"/>
      <c r="AJ118" s="10"/>
      <c r="AK118" s="10"/>
      <c r="AL118" s="10"/>
      <c r="AM118" s="10"/>
      <c r="AN118" s="10"/>
      <c r="AO118" s="10"/>
      <c r="AP118" s="10"/>
      <c r="AQ118" s="10"/>
      <c r="AR118" s="10"/>
      <c r="AS118" s="10"/>
      <c r="AT118" s="10"/>
      <c r="AU118" s="10"/>
      <c r="AV118" s="10"/>
      <c r="AW118" s="10"/>
      <c r="AX118" s="10"/>
      <c r="AY118" s="10"/>
      <c r="AZ118" s="10"/>
      <c r="BA118" s="10"/>
      <c r="BB118" s="10"/>
      <c r="BC118" s="10"/>
      <c r="BD118" s="10"/>
    </row>
    <row r="119" spans="7:56" ht="39.75" customHeight="1">
      <c r="G119" s="10"/>
      <c r="H119" s="10"/>
      <c r="I119" s="10"/>
      <c r="J119" s="10"/>
      <c r="K119" s="10"/>
      <c r="L119" s="10"/>
      <c r="M119" s="10"/>
      <c r="O119" s="10"/>
      <c r="P119" s="10"/>
      <c r="R119" s="10"/>
      <c r="S119" s="10"/>
      <c r="T119" s="10"/>
      <c r="V119" s="10"/>
      <c r="W119" s="10"/>
      <c r="X119" s="10"/>
      <c r="Y119" s="10"/>
      <c r="Z119" s="10"/>
      <c r="AA119" s="10"/>
      <c r="AB119" s="10"/>
      <c r="AC119" s="10"/>
      <c r="AD119" s="10"/>
      <c r="AF119" s="10"/>
      <c r="AG119" s="10"/>
      <c r="AH119" s="10"/>
      <c r="AI119" s="10"/>
      <c r="AJ119" s="10"/>
      <c r="AK119" s="10"/>
      <c r="AL119" s="10"/>
      <c r="AM119" s="10"/>
      <c r="AN119" s="10"/>
      <c r="AO119" s="10"/>
      <c r="AP119" s="10"/>
      <c r="AQ119" s="10"/>
      <c r="AR119" s="10"/>
      <c r="AS119" s="10"/>
      <c r="AT119" s="10"/>
      <c r="AU119" s="10"/>
      <c r="AV119" s="10"/>
      <c r="AW119" s="10"/>
      <c r="AX119" s="10"/>
      <c r="AY119" s="10"/>
      <c r="AZ119" s="10"/>
      <c r="BA119" s="10"/>
      <c r="BB119" s="10"/>
      <c r="BC119" s="10"/>
      <c r="BD119" s="10"/>
    </row>
    <row r="120" spans="7:56" ht="39.75" customHeight="1">
      <c r="G120" s="10"/>
      <c r="H120" s="10"/>
      <c r="I120" s="10"/>
      <c r="J120" s="10"/>
      <c r="K120" s="10"/>
      <c r="L120" s="10"/>
      <c r="M120" s="10"/>
      <c r="O120" s="10"/>
      <c r="P120" s="10"/>
      <c r="R120" s="10"/>
      <c r="S120" s="10"/>
      <c r="T120" s="10"/>
      <c r="V120" s="10"/>
      <c r="W120" s="10"/>
      <c r="X120" s="10"/>
      <c r="Y120" s="10"/>
      <c r="Z120" s="10"/>
      <c r="AA120" s="10"/>
      <c r="AB120" s="10"/>
      <c r="AC120" s="10"/>
      <c r="AD120" s="10"/>
      <c r="AF120" s="10"/>
      <c r="AG120" s="10"/>
      <c r="AH120" s="10"/>
      <c r="AI120" s="10"/>
      <c r="AJ120" s="10"/>
      <c r="AK120" s="10"/>
      <c r="AL120" s="10"/>
      <c r="AM120" s="10"/>
      <c r="AN120" s="10"/>
      <c r="AO120" s="10"/>
      <c r="AP120" s="10"/>
      <c r="AQ120" s="10"/>
      <c r="AR120" s="10"/>
      <c r="AS120" s="10"/>
      <c r="AT120" s="10"/>
      <c r="AU120" s="10"/>
      <c r="AV120" s="10"/>
      <c r="AW120" s="10"/>
      <c r="AX120" s="10"/>
      <c r="AY120" s="10"/>
      <c r="AZ120" s="10"/>
      <c r="BA120" s="10"/>
      <c r="BB120" s="10"/>
      <c r="BC120" s="10"/>
      <c r="BD120" s="10"/>
    </row>
    <row r="121" spans="7:56" ht="39.75" customHeight="1">
      <c r="G121" s="10"/>
      <c r="H121" s="10"/>
      <c r="I121" s="10"/>
      <c r="J121" s="10"/>
      <c r="K121" s="10"/>
      <c r="L121" s="10"/>
      <c r="M121" s="10"/>
      <c r="O121" s="10"/>
      <c r="P121" s="10"/>
      <c r="R121" s="10"/>
      <c r="S121" s="10"/>
      <c r="T121" s="10"/>
      <c r="V121" s="10"/>
      <c r="W121" s="10"/>
      <c r="X121" s="10"/>
      <c r="Y121" s="10"/>
      <c r="Z121" s="10"/>
      <c r="AA121" s="10"/>
      <c r="AB121" s="10"/>
      <c r="AC121" s="10"/>
      <c r="AD121" s="10"/>
      <c r="AF121" s="10"/>
      <c r="AG121" s="10"/>
      <c r="AH121" s="10"/>
      <c r="AI121" s="10"/>
      <c r="AJ121" s="10"/>
      <c r="AK121" s="10"/>
      <c r="AL121" s="10"/>
      <c r="AM121" s="10"/>
      <c r="AN121" s="10"/>
      <c r="AO121" s="10"/>
      <c r="AP121" s="10"/>
      <c r="AQ121" s="10"/>
      <c r="AR121" s="10"/>
      <c r="AS121" s="10"/>
      <c r="AT121" s="10"/>
      <c r="AU121" s="10"/>
      <c r="AV121" s="10"/>
      <c r="AW121" s="10"/>
      <c r="AX121" s="10"/>
      <c r="AY121" s="10"/>
      <c r="AZ121" s="10"/>
      <c r="BA121" s="10"/>
      <c r="BB121" s="10"/>
      <c r="BC121" s="10"/>
      <c r="BD121" s="10"/>
    </row>
    <row r="122" spans="7:56" ht="39.75" customHeight="1">
      <c r="G122" s="10"/>
      <c r="H122" s="10"/>
      <c r="I122" s="10"/>
      <c r="J122" s="10"/>
      <c r="K122" s="10"/>
      <c r="L122" s="10"/>
      <c r="M122" s="10"/>
      <c r="O122" s="10"/>
      <c r="P122" s="10"/>
      <c r="R122" s="10"/>
      <c r="S122" s="10"/>
      <c r="T122" s="10"/>
      <c r="V122" s="10"/>
      <c r="W122" s="10"/>
      <c r="X122" s="10"/>
      <c r="Y122" s="10"/>
      <c r="Z122" s="10"/>
      <c r="AA122" s="10"/>
      <c r="AB122" s="10"/>
      <c r="AC122" s="10"/>
      <c r="AD122" s="10"/>
      <c r="AF122" s="10"/>
      <c r="AG122" s="10"/>
      <c r="AH122" s="10"/>
      <c r="AI122" s="10"/>
      <c r="AJ122" s="10"/>
      <c r="AK122" s="10"/>
      <c r="AL122" s="10"/>
      <c r="AM122" s="10"/>
      <c r="AN122" s="10"/>
      <c r="AO122" s="10"/>
      <c r="AP122" s="10"/>
      <c r="AQ122" s="10"/>
      <c r="AR122" s="10"/>
      <c r="AS122" s="10"/>
      <c r="AT122" s="10"/>
      <c r="AU122" s="10"/>
      <c r="AV122" s="10"/>
      <c r="AW122" s="10"/>
      <c r="AX122" s="10"/>
      <c r="AY122" s="10"/>
      <c r="AZ122" s="10"/>
      <c r="BA122" s="10"/>
      <c r="BB122" s="10"/>
      <c r="BC122" s="10"/>
      <c r="BD122" s="10"/>
    </row>
    <row r="123" spans="7:56" ht="39.75" customHeight="1">
      <c r="G123" s="10"/>
      <c r="H123" s="10"/>
      <c r="I123" s="10"/>
      <c r="J123" s="10"/>
      <c r="K123" s="10"/>
      <c r="L123" s="10"/>
      <c r="M123" s="10"/>
      <c r="O123" s="10"/>
      <c r="P123" s="10"/>
      <c r="R123" s="10"/>
      <c r="S123" s="10"/>
      <c r="T123" s="10"/>
      <c r="V123" s="10"/>
      <c r="W123" s="10"/>
      <c r="X123" s="10"/>
      <c r="Y123" s="10"/>
      <c r="Z123" s="10"/>
      <c r="AA123" s="10"/>
      <c r="AB123" s="10"/>
      <c r="AC123" s="10"/>
      <c r="AD123" s="10"/>
      <c r="AF123" s="10"/>
      <c r="AG123" s="10"/>
      <c r="AH123" s="10"/>
      <c r="AI123" s="10"/>
      <c r="AJ123" s="10"/>
      <c r="AK123" s="10"/>
      <c r="AL123" s="10"/>
      <c r="AM123" s="10"/>
      <c r="AN123" s="10"/>
      <c r="AO123" s="10"/>
      <c r="AP123" s="10"/>
      <c r="AQ123" s="10"/>
      <c r="AR123" s="10"/>
      <c r="AS123" s="10"/>
      <c r="AT123" s="10"/>
      <c r="AU123" s="10"/>
      <c r="AV123" s="10"/>
      <c r="AW123" s="10"/>
      <c r="AX123" s="10"/>
      <c r="AY123" s="10"/>
      <c r="AZ123" s="10"/>
      <c r="BA123" s="10"/>
      <c r="BB123" s="10"/>
      <c r="BC123" s="10"/>
      <c r="BD123" s="10"/>
    </row>
    <row r="124" spans="7:56" ht="39.75" customHeight="1">
      <c r="G124" s="10"/>
      <c r="H124" s="10"/>
      <c r="I124" s="10"/>
      <c r="J124" s="10"/>
      <c r="K124" s="10"/>
      <c r="L124" s="10"/>
      <c r="M124" s="10"/>
      <c r="O124" s="10"/>
      <c r="P124" s="10"/>
      <c r="R124" s="10"/>
      <c r="S124" s="10"/>
      <c r="T124" s="10"/>
      <c r="V124" s="10"/>
      <c r="W124" s="10"/>
      <c r="X124" s="10"/>
      <c r="Y124" s="10"/>
      <c r="Z124" s="10"/>
      <c r="AA124" s="10"/>
      <c r="AB124" s="10"/>
      <c r="AC124" s="10"/>
      <c r="AD124" s="10"/>
      <c r="AF124" s="10"/>
      <c r="AG124" s="10"/>
      <c r="AH124" s="10"/>
      <c r="AI124" s="10"/>
      <c r="AJ124" s="10"/>
      <c r="AK124" s="10"/>
      <c r="AL124" s="10"/>
      <c r="AM124" s="10"/>
      <c r="AN124" s="10"/>
      <c r="AO124" s="10"/>
      <c r="AP124" s="10"/>
      <c r="AQ124" s="10"/>
      <c r="AR124" s="10"/>
      <c r="AS124" s="10"/>
      <c r="AT124" s="10"/>
      <c r="AU124" s="10"/>
      <c r="AV124" s="10"/>
      <c r="AW124" s="10"/>
      <c r="AX124" s="10"/>
      <c r="AY124" s="10"/>
      <c r="AZ124" s="10"/>
      <c r="BA124" s="10"/>
      <c r="BB124" s="10"/>
      <c r="BC124" s="10"/>
      <c r="BD124" s="10"/>
    </row>
    <row r="125" spans="7:56" ht="39.75" customHeight="1">
      <c r="G125" s="10"/>
      <c r="H125" s="10"/>
      <c r="I125" s="10"/>
      <c r="J125" s="10"/>
      <c r="K125" s="10"/>
      <c r="L125" s="10"/>
      <c r="M125" s="10"/>
      <c r="O125" s="10"/>
      <c r="P125" s="10"/>
      <c r="R125" s="10"/>
      <c r="S125" s="10"/>
      <c r="T125" s="10"/>
      <c r="V125" s="10"/>
      <c r="W125" s="10"/>
      <c r="X125" s="10"/>
      <c r="Y125" s="10"/>
      <c r="Z125" s="10"/>
      <c r="AA125" s="10"/>
      <c r="AB125" s="10"/>
      <c r="AC125" s="10"/>
      <c r="AD125" s="10"/>
      <c r="AF125" s="10"/>
      <c r="AG125" s="10"/>
      <c r="AH125" s="10"/>
      <c r="AI125" s="10"/>
      <c r="AJ125" s="10"/>
      <c r="AK125" s="10"/>
      <c r="AL125" s="10"/>
      <c r="AM125" s="10"/>
      <c r="AN125" s="10"/>
      <c r="AO125" s="10"/>
      <c r="AP125" s="10"/>
      <c r="AQ125" s="10"/>
      <c r="AR125" s="10"/>
      <c r="AS125" s="10"/>
      <c r="AT125" s="10"/>
      <c r="AU125" s="10"/>
      <c r="AV125" s="10"/>
      <c r="AW125" s="10"/>
      <c r="AX125" s="10"/>
      <c r="AY125" s="10"/>
      <c r="AZ125" s="10"/>
      <c r="BA125" s="10"/>
      <c r="BB125" s="10"/>
      <c r="BC125" s="10"/>
      <c r="BD125" s="10"/>
    </row>
    <row r="126" spans="7:56" ht="39.75" customHeight="1">
      <c r="G126" s="10"/>
      <c r="H126" s="10"/>
      <c r="I126" s="10"/>
      <c r="J126" s="10"/>
      <c r="K126" s="10"/>
      <c r="L126" s="10"/>
      <c r="M126" s="10"/>
      <c r="O126" s="10"/>
      <c r="P126" s="10"/>
      <c r="R126" s="10"/>
      <c r="S126" s="10"/>
      <c r="T126" s="10"/>
      <c r="V126" s="10"/>
      <c r="W126" s="10"/>
      <c r="X126" s="10"/>
      <c r="Y126" s="10"/>
      <c r="Z126" s="10"/>
      <c r="AA126" s="10"/>
      <c r="AB126" s="10"/>
      <c r="AC126" s="10"/>
      <c r="AD126" s="10"/>
      <c r="AF126" s="10"/>
      <c r="AG126" s="10"/>
      <c r="AH126" s="10"/>
      <c r="AI126" s="10"/>
      <c r="AJ126" s="10"/>
      <c r="AK126" s="10"/>
      <c r="AL126" s="10"/>
      <c r="AM126" s="10"/>
      <c r="AN126" s="10"/>
      <c r="AO126" s="10"/>
      <c r="AP126" s="10"/>
      <c r="AQ126" s="10"/>
      <c r="AR126" s="10"/>
      <c r="AS126" s="10"/>
      <c r="AT126" s="10"/>
      <c r="AU126" s="10"/>
      <c r="AV126" s="10"/>
      <c r="AW126" s="10"/>
      <c r="AX126" s="10"/>
      <c r="AY126" s="10"/>
      <c r="AZ126" s="10"/>
      <c r="BA126" s="10"/>
      <c r="BB126" s="10"/>
      <c r="BC126" s="10"/>
      <c r="BD126" s="10"/>
    </row>
    <row r="127" spans="7:56" ht="39.75" customHeight="1">
      <c r="G127" s="10"/>
      <c r="H127" s="10"/>
      <c r="I127" s="10"/>
      <c r="J127" s="10"/>
      <c r="K127" s="10"/>
      <c r="L127" s="10"/>
      <c r="M127" s="10"/>
      <c r="O127" s="10"/>
      <c r="P127" s="10"/>
      <c r="R127" s="10"/>
      <c r="S127" s="10"/>
      <c r="T127" s="10"/>
      <c r="V127" s="10"/>
      <c r="W127" s="10"/>
      <c r="X127" s="10"/>
      <c r="Y127" s="10"/>
      <c r="Z127" s="10"/>
      <c r="AA127" s="10"/>
      <c r="AB127" s="10"/>
      <c r="AC127" s="10"/>
      <c r="AD127" s="10"/>
      <c r="AF127" s="10"/>
      <c r="AG127" s="10"/>
      <c r="AH127" s="10"/>
      <c r="AI127" s="10"/>
      <c r="AJ127" s="10"/>
      <c r="AK127" s="10"/>
      <c r="AL127" s="10"/>
      <c r="AM127" s="10"/>
      <c r="AN127" s="10"/>
      <c r="AO127" s="10"/>
      <c r="AP127" s="10"/>
      <c r="AQ127" s="10"/>
      <c r="AR127" s="10"/>
      <c r="AS127" s="10"/>
      <c r="AT127" s="10"/>
      <c r="AU127" s="10"/>
      <c r="AV127" s="10"/>
      <c r="AW127" s="10"/>
      <c r="AX127" s="10"/>
      <c r="AY127" s="10"/>
      <c r="AZ127" s="10"/>
      <c r="BA127" s="10"/>
      <c r="BB127" s="10"/>
      <c r="BC127" s="10"/>
      <c r="BD127" s="10"/>
    </row>
    <row r="128" spans="7:56" ht="39.75" customHeight="1">
      <c r="G128" s="10"/>
      <c r="H128" s="10"/>
      <c r="I128" s="10"/>
      <c r="J128" s="10"/>
      <c r="K128" s="10"/>
      <c r="L128" s="10"/>
      <c r="M128" s="10"/>
      <c r="O128" s="10"/>
      <c r="P128" s="10"/>
      <c r="R128" s="10"/>
      <c r="S128" s="10"/>
      <c r="T128" s="10"/>
      <c r="V128" s="10"/>
      <c r="W128" s="10"/>
      <c r="X128" s="10"/>
      <c r="Y128" s="10"/>
      <c r="Z128" s="10"/>
      <c r="AA128" s="10"/>
      <c r="AB128" s="10"/>
      <c r="AC128" s="10"/>
      <c r="AD128" s="10"/>
      <c r="AF128" s="10"/>
      <c r="AG128" s="10"/>
      <c r="AH128" s="10"/>
      <c r="AI128" s="10"/>
      <c r="AJ128" s="10"/>
      <c r="AK128" s="10"/>
      <c r="AL128" s="10"/>
      <c r="AM128" s="10"/>
      <c r="AN128" s="10"/>
      <c r="AO128" s="10"/>
      <c r="AP128" s="10"/>
      <c r="AQ128" s="10"/>
      <c r="AR128" s="10"/>
      <c r="AS128" s="10"/>
      <c r="AT128" s="10"/>
      <c r="AU128" s="10"/>
      <c r="AV128" s="10"/>
      <c r="AW128" s="10"/>
      <c r="AX128" s="10"/>
      <c r="AY128" s="10"/>
      <c r="AZ128" s="10"/>
      <c r="BA128" s="10"/>
      <c r="BB128" s="10"/>
      <c r="BC128" s="10"/>
      <c r="BD128" s="10"/>
    </row>
    <row r="129" spans="7:55" ht="39.75" customHeight="1">
      <c r="G129" s="10"/>
      <c r="S129" s="10"/>
      <c r="X129" s="10"/>
      <c r="AV129" s="10"/>
      <c r="AW129" s="10"/>
      <c r="BB129" s="10"/>
      <c r="BC129" s="10"/>
    </row>
    <row r="130" spans="7:55" ht="39.75" customHeight="1">
      <c r="G130" s="10"/>
      <c r="S130" s="10"/>
      <c r="X130" s="10"/>
      <c r="AV130" s="10"/>
      <c r="AW130" s="10"/>
      <c r="BB130" s="10"/>
      <c r="BC130" s="10"/>
    </row>
    <row r="131" spans="7:55" ht="39.75" customHeight="1">
      <c r="G131" s="10"/>
      <c r="S131" s="10"/>
      <c r="X131" s="10"/>
      <c r="AV131" s="10"/>
      <c r="AW131" s="10"/>
      <c r="BB131" s="10"/>
      <c r="BC131" s="10"/>
    </row>
    <row r="132" spans="7:55" ht="39.75" customHeight="1">
      <c r="G132" s="10"/>
      <c r="S132" s="10"/>
      <c r="X132" s="10"/>
      <c r="AV132" s="10"/>
      <c r="AW132" s="10"/>
      <c r="BB132" s="10"/>
      <c r="BC132" s="10"/>
    </row>
    <row r="133" spans="7:55" ht="39.75" customHeight="1">
      <c r="G133" s="10"/>
      <c r="S133" s="10"/>
      <c r="X133" s="10"/>
      <c r="AV133" s="10"/>
      <c r="AW133" s="10"/>
      <c r="BB133" s="10"/>
      <c r="BC133" s="10"/>
    </row>
    <row r="134" spans="7:55" ht="39.75" customHeight="1">
      <c r="G134" s="10"/>
      <c r="S134" s="10"/>
      <c r="X134" s="10"/>
      <c r="AV134" s="10"/>
      <c r="AW134" s="10"/>
      <c r="BB134" s="10"/>
      <c r="BC134" s="10"/>
    </row>
    <row r="135" spans="7:55" ht="39.75" customHeight="1">
      <c r="G135" s="10"/>
      <c r="S135" s="10"/>
      <c r="X135" s="10"/>
      <c r="AV135" s="10"/>
      <c r="AW135" s="10"/>
      <c r="BB135" s="10"/>
      <c r="BC135" s="10"/>
    </row>
    <row r="136" spans="7:55" ht="39.75" customHeight="1">
      <c r="G136" s="10"/>
      <c r="S136" s="10"/>
      <c r="X136" s="10"/>
      <c r="AV136" s="10"/>
      <c r="AW136" s="10"/>
      <c r="BB136" s="10"/>
      <c r="BC136" s="10"/>
    </row>
    <row r="137" spans="7:55" ht="39.75" customHeight="1">
      <c r="G137" s="10"/>
      <c r="S137" s="10"/>
      <c r="X137" s="10"/>
      <c r="AV137" s="10"/>
      <c r="AW137" s="10"/>
      <c r="BB137" s="10"/>
      <c r="BC137" s="10"/>
    </row>
    <row r="138" spans="7:55" ht="39.75" customHeight="1">
      <c r="G138" s="10"/>
      <c r="S138" s="10"/>
      <c r="X138" s="10"/>
      <c r="AV138" s="10"/>
      <c r="AW138" s="10"/>
      <c r="BB138" s="10"/>
      <c r="BC138" s="10"/>
    </row>
    <row r="139" spans="7:55" ht="39.75" customHeight="1">
      <c r="G139" s="10"/>
      <c r="S139" s="10"/>
      <c r="X139" s="10"/>
      <c r="AV139" s="10"/>
      <c r="AW139" s="10"/>
      <c r="BB139" s="10"/>
      <c r="BC139" s="10"/>
    </row>
    <row r="140" spans="7:55" ht="39.75" customHeight="1">
      <c r="G140" s="10"/>
      <c r="S140" s="10"/>
      <c r="X140" s="10"/>
      <c r="AV140" s="10"/>
      <c r="AW140" s="10"/>
      <c r="BB140" s="10"/>
      <c r="BC140" s="10"/>
    </row>
    <row r="141" spans="7:55" ht="39.75" customHeight="1">
      <c r="G141" s="10"/>
      <c r="S141" s="10"/>
      <c r="X141" s="10"/>
      <c r="AV141" s="10"/>
      <c r="AW141" s="10"/>
      <c r="BB141" s="10"/>
      <c r="BC141" s="10"/>
    </row>
    <row r="142" spans="7:55" ht="39.75" customHeight="1">
      <c r="G142" s="10"/>
      <c r="S142" s="10"/>
      <c r="X142" s="10"/>
      <c r="AV142" s="10"/>
      <c r="AW142" s="10"/>
      <c r="BB142" s="10"/>
      <c r="BC142" s="10"/>
    </row>
    <row r="143" spans="7:55" ht="39.75" customHeight="1">
      <c r="G143" s="10"/>
      <c r="S143" s="10"/>
      <c r="X143" s="10"/>
      <c r="AV143" s="10"/>
      <c r="AW143" s="10"/>
      <c r="BB143" s="10"/>
      <c r="BC143" s="10"/>
    </row>
    <row r="144" spans="7:55" ht="39.75" customHeight="1">
      <c r="G144" s="10"/>
      <c r="S144" s="10"/>
      <c r="X144" s="10"/>
      <c r="AV144" s="10"/>
      <c r="AW144" s="10"/>
      <c r="BB144" s="10"/>
      <c r="BC144" s="10"/>
    </row>
    <row r="145" spans="7:55" ht="39.75" customHeight="1">
      <c r="G145" s="10"/>
      <c r="S145" s="10"/>
      <c r="X145" s="10"/>
      <c r="AV145" s="10"/>
      <c r="AW145" s="10"/>
      <c r="BB145" s="10"/>
      <c r="BC145" s="10"/>
    </row>
    <row r="146" spans="7:55" ht="39.75" customHeight="1">
      <c r="G146" s="10"/>
      <c r="S146" s="10"/>
      <c r="X146" s="10"/>
      <c r="AV146" s="10"/>
      <c r="AW146" s="10"/>
      <c r="BB146" s="10"/>
      <c r="BC146" s="10"/>
    </row>
    <row r="147" spans="7:55" ht="39.75" customHeight="1">
      <c r="G147" s="10"/>
      <c r="S147" s="10"/>
      <c r="X147" s="10"/>
      <c r="AV147" s="10"/>
      <c r="AW147" s="10"/>
      <c r="BB147" s="10"/>
      <c r="BC147" s="10"/>
    </row>
    <row r="148" spans="7:55" ht="39.75" customHeight="1">
      <c r="G148" s="10"/>
      <c r="S148" s="10"/>
      <c r="X148" s="10"/>
      <c r="AV148" s="10"/>
      <c r="AW148" s="10"/>
      <c r="BB148" s="10"/>
      <c r="BC148" s="10"/>
    </row>
    <row r="149" spans="7:55" ht="39.75" customHeight="1">
      <c r="G149" s="10"/>
      <c r="S149" s="10"/>
      <c r="X149" s="10"/>
      <c r="AV149" s="10"/>
      <c r="AW149" s="10"/>
      <c r="BB149" s="10"/>
      <c r="BC149" s="10"/>
    </row>
    <row r="150" spans="7:55" ht="39.75" customHeight="1">
      <c r="G150" s="10"/>
      <c r="S150" s="10"/>
      <c r="X150" s="10"/>
      <c r="AV150" s="10"/>
      <c r="AW150" s="10"/>
      <c r="BB150" s="10"/>
      <c r="BC150" s="10"/>
    </row>
    <row r="151" spans="7:55" ht="39.75" customHeight="1">
      <c r="G151" s="10"/>
      <c r="S151" s="10"/>
      <c r="X151" s="10"/>
      <c r="AV151" s="10"/>
      <c r="AW151" s="10"/>
      <c r="BB151" s="10"/>
      <c r="BC151" s="10"/>
    </row>
    <row r="152" spans="7:55" ht="39.75" customHeight="1">
      <c r="G152" s="10"/>
      <c r="S152" s="10"/>
      <c r="X152" s="10"/>
      <c r="AV152" s="10"/>
      <c r="AW152" s="10"/>
      <c r="BB152" s="10"/>
      <c r="BC152" s="10"/>
    </row>
    <row r="153" spans="7:55" ht="39.75" customHeight="1">
      <c r="G153" s="10"/>
      <c r="S153" s="10"/>
      <c r="X153" s="10"/>
      <c r="AV153" s="10"/>
      <c r="AW153" s="10"/>
      <c r="BB153" s="10"/>
      <c r="BC153" s="10"/>
    </row>
    <row r="154" spans="7:55" ht="39.75" customHeight="1">
      <c r="G154" s="10"/>
      <c r="S154" s="10"/>
      <c r="X154" s="10"/>
      <c r="AV154" s="10"/>
      <c r="AW154" s="10"/>
      <c r="BB154" s="10"/>
      <c r="BC154" s="10"/>
    </row>
    <row r="155" spans="7:55" ht="39.75" customHeight="1">
      <c r="G155" s="10"/>
      <c r="S155" s="10"/>
      <c r="X155" s="10"/>
      <c r="AV155" s="10"/>
      <c r="AW155" s="10"/>
      <c r="BB155" s="10"/>
      <c r="BC155" s="10"/>
    </row>
    <row r="156" spans="7:55" ht="39.75" customHeight="1">
      <c r="G156" s="10"/>
      <c r="S156" s="10"/>
      <c r="X156" s="10"/>
      <c r="AV156" s="10"/>
      <c r="AW156" s="10"/>
      <c r="BB156" s="10"/>
      <c r="BC156" s="10"/>
    </row>
    <row r="157" spans="7:55" ht="39.75" customHeight="1">
      <c r="G157" s="10"/>
      <c r="S157" s="10"/>
      <c r="X157" s="10"/>
      <c r="AV157" s="10"/>
      <c r="AW157" s="10"/>
      <c r="BB157" s="10"/>
      <c r="BC157" s="10"/>
    </row>
    <row r="158" spans="7:55" ht="39.75" customHeight="1">
      <c r="G158" s="10"/>
      <c r="S158" s="10"/>
      <c r="X158" s="10"/>
      <c r="AV158" s="10"/>
      <c r="AW158" s="10"/>
      <c r="BB158" s="10"/>
      <c r="BC158" s="10"/>
    </row>
    <row r="159" spans="7:55" ht="39.75" customHeight="1">
      <c r="G159" s="10"/>
      <c r="S159" s="10"/>
      <c r="X159" s="10"/>
      <c r="AV159" s="10"/>
      <c r="AW159" s="10"/>
      <c r="BB159" s="10"/>
      <c r="BC159" s="10"/>
    </row>
    <row r="160" spans="7:55" ht="39.75" customHeight="1">
      <c r="G160" s="10"/>
      <c r="S160" s="10"/>
      <c r="X160" s="10"/>
      <c r="AV160" s="10"/>
      <c r="AW160" s="10"/>
      <c r="BB160" s="10"/>
      <c r="BC160" s="10"/>
    </row>
    <row r="161" spans="7:55" ht="39.75" customHeight="1">
      <c r="G161" s="10"/>
      <c r="S161" s="10"/>
      <c r="X161" s="10"/>
      <c r="AV161" s="10"/>
      <c r="AW161" s="10"/>
      <c r="BB161" s="10"/>
      <c r="BC161" s="10"/>
    </row>
    <row r="162" spans="7:55" ht="39.75" customHeight="1">
      <c r="G162" s="10"/>
      <c r="S162" s="10"/>
      <c r="X162" s="10"/>
      <c r="AV162" s="10"/>
      <c r="AW162" s="10"/>
      <c r="BB162" s="10"/>
      <c r="BC162" s="10"/>
    </row>
    <row r="163" spans="7:55" ht="39.75" customHeight="1">
      <c r="G163" s="10"/>
      <c r="S163" s="10"/>
      <c r="X163" s="10"/>
      <c r="AV163" s="10"/>
      <c r="AW163" s="10"/>
      <c r="BB163" s="10"/>
      <c r="BC163" s="10"/>
    </row>
    <row r="164" spans="7:55" ht="39.75" customHeight="1">
      <c r="G164" s="10"/>
      <c r="S164" s="10"/>
      <c r="X164" s="10"/>
      <c r="AV164" s="10"/>
      <c r="AW164" s="10"/>
      <c r="BB164" s="10"/>
      <c r="BC164" s="10"/>
    </row>
    <row r="165" spans="7:55" ht="39.75" customHeight="1">
      <c r="G165" s="10"/>
      <c r="S165" s="10"/>
      <c r="X165" s="10"/>
      <c r="AV165" s="10"/>
      <c r="AW165" s="10"/>
      <c r="BB165" s="10"/>
      <c r="BC165" s="10"/>
    </row>
    <row r="166" spans="7:55" ht="39.75" customHeight="1">
      <c r="G166" s="10"/>
      <c r="S166" s="10"/>
      <c r="X166" s="10"/>
      <c r="AV166" s="10"/>
      <c r="AW166" s="10"/>
      <c r="BB166" s="10"/>
      <c r="BC166" s="10"/>
    </row>
    <row r="167" spans="7:55" ht="39.75" customHeight="1">
      <c r="G167" s="10"/>
      <c r="S167" s="10"/>
      <c r="X167" s="10"/>
      <c r="AV167" s="10"/>
      <c r="AW167" s="10"/>
      <c r="BB167" s="10"/>
      <c r="BC167" s="10"/>
    </row>
    <row r="168" spans="7:55" ht="39.75" customHeight="1">
      <c r="G168" s="10"/>
      <c r="S168" s="10"/>
      <c r="X168" s="10"/>
      <c r="AV168" s="10"/>
      <c r="AW168" s="10"/>
      <c r="BB168" s="10"/>
      <c r="BC168" s="10"/>
    </row>
    <row r="169" spans="7:55" ht="39.75" customHeight="1">
      <c r="G169" s="10"/>
      <c r="S169" s="10"/>
      <c r="X169" s="10"/>
      <c r="AV169" s="10"/>
      <c r="AW169" s="10"/>
      <c r="BB169" s="10"/>
      <c r="BC169" s="10"/>
    </row>
    <row r="170" spans="7:55" ht="39.75" customHeight="1">
      <c r="G170" s="10"/>
      <c r="S170" s="10"/>
      <c r="X170" s="10"/>
      <c r="AV170" s="10"/>
      <c r="AW170" s="10"/>
      <c r="BB170" s="10"/>
      <c r="BC170" s="10"/>
    </row>
    <row r="171" spans="7:55" ht="39.75" customHeight="1">
      <c r="G171" s="10"/>
      <c r="S171" s="10"/>
      <c r="X171" s="10"/>
      <c r="AV171" s="10"/>
      <c r="AW171" s="10"/>
      <c r="BB171" s="10"/>
      <c r="BC171" s="10"/>
    </row>
    <row r="172" spans="7:55" ht="39.75" customHeight="1">
      <c r="G172" s="10"/>
      <c r="S172" s="10"/>
      <c r="X172" s="10"/>
      <c r="AV172" s="10"/>
      <c r="AW172" s="10"/>
      <c r="BB172" s="10"/>
      <c r="BC172" s="10"/>
    </row>
    <row r="173" spans="7:55" ht="39.75" customHeight="1">
      <c r="G173" s="10"/>
      <c r="S173" s="10"/>
      <c r="X173" s="10"/>
      <c r="AV173" s="10"/>
      <c r="AW173" s="10"/>
      <c r="BB173" s="10"/>
      <c r="BC173" s="10"/>
    </row>
    <row r="174" spans="7:55" ht="39.75" customHeight="1">
      <c r="G174" s="10"/>
      <c r="S174" s="10"/>
      <c r="X174" s="10"/>
      <c r="AV174" s="10"/>
      <c r="AW174" s="10"/>
      <c r="BB174" s="10"/>
      <c r="BC174" s="10"/>
    </row>
    <row r="175" spans="7:55" ht="39.75" customHeight="1">
      <c r="G175" s="10"/>
      <c r="S175" s="10"/>
      <c r="X175" s="10"/>
      <c r="AV175" s="10"/>
      <c r="AW175" s="10"/>
      <c r="BB175" s="10"/>
      <c r="BC175" s="10"/>
    </row>
    <row r="176" spans="7:55" ht="39.75" customHeight="1">
      <c r="G176" s="10"/>
      <c r="S176" s="10"/>
      <c r="X176" s="10"/>
      <c r="AV176" s="10"/>
      <c r="AW176" s="10"/>
      <c r="BB176" s="10"/>
      <c r="BC176" s="10"/>
    </row>
    <row r="177" spans="7:55" ht="39.75" customHeight="1">
      <c r="G177" s="10"/>
      <c r="S177" s="10"/>
      <c r="X177" s="10"/>
      <c r="AV177" s="10"/>
      <c r="AW177" s="10"/>
      <c r="BB177" s="10"/>
      <c r="BC177" s="10"/>
    </row>
    <row r="178" spans="7:55" ht="39.75" customHeight="1">
      <c r="G178" s="10"/>
      <c r="S178" s="10"/>
      <c r="X178" s="10"/>
      <c r="AV178" s="10"/>
      <c r="AW178" s="10"/>
      <c r="BB178" s="10"/>
      <c r="BC178" s="10"/>
    </row>
    <row r="179" spans="7:55" ht="39.75" customHeight="1">
      <c r="G179" s="10"/>
      <c r="S179" s="10"/>
      <c r="X179" s="10"/>
      <c r="AV179" s="10"/>
      <c r="AW179" s="10"/>
      <c r="BB179" s="10"/>
      <c r="BC179" s="10"/>
    </row>
    <row r="180" spans="7:55" ht="39.75" customHeight="1">
      <c r="G180" s="10"/>
      <c r="S180" s="10"/>
      <c r="X180" s="10"/>
      <c r="AV180" s="10"/>
      <c r="AW180" s="10"/>
      <c r="BB180" s="10"/>
      <c r="BC180" s="10"/>
    </row>
    <row r="181" spans="7:55" ht="39.75" customHeight="1">
      <c r="G181" s="10"/>
      <c r="S181" s="10"/>
      <c r="X181" s="10"/>
      <c r="AV181" s="10"/>
      <c r="AW181" s="10"/>
      <c r="BB181" s="10"/>
      <c r="BC181" s="10"/>
    </row>
    <row r="182" spans="7:55" ht="39.75" customHeight="1">
      <c r="G182" s="10"/>
      <c r="S182" s="10"/>
      <c r="X182" s="10"/>
      <c r="AV182" s="10"/>
      <c r="AW182" s="10"/>
      <c r="BB182" s="10"/>
      <c r="BC182" s="10"/>
    </row>
    <row r="183" spans="7:55" ht="39.75" customHeight="1">
      <c r="G183" s="10"/>
      <c r="S183" s="10"/>
      <c r="X183" s="10"/>
      <c r="AV183" s="10"/>
      <c r="AW183" s="10"/>
      <c r="BB183" s="10"/>
      <c r="BC183" s="10"/>
    </row>
    <row r="184" spans="7:55" ht="39.75" customHeight="1">
      <c r="G184" s="10"/>
      <c r="S184" s="10"/>
      <c r="X184" s="10"/>
      <c r="AV184" s="10"/>
      <c r="AW184" s="10"/>
      <c r="BB184" s="10"/>
      <c r="BC184" s="10"/>
    </row>
    <row r="185" spans="7:55" ht="39.75" customHeight="1">
      <c r="G185" s="10"/>
      <c r="S185" s="10"/>
      <c r="X185" s="10"/>
      <c r="AV185" s="10"/>
      <c r="AW185" s="10"/>
      <c r="BB185" s="10"/>
      <c r="BC185" s="10"/>
    </row>
    <row r="186" spans="7:55" ht="39.75" customHeight="1">
      <c r="G186" s="10"/>
      <c r="S186" s="10"/>
      <c r="X186" s="10"/>
      <c r="AV186" s="10"/>
      <c r="AW186" s="10"/>
      <c r="BB186" s="10"/>
      <c r="BC186" s="10"/>
    </row>
    <row r="187" spans="7:55" ht="39.75" customHeight="1">
      <c r="G187" s="10"/>
      <c r="S187" s="10"/>
      <c r="X187" s="10"/>
      <c r="AV187" s="10"/>
      <c r="AW187" s="10"/>
      <c r="BB187" s="10"/>
      <c r="BC187" s="10"/>
    </row>
    <row r="188" spans="7:55" ht="39.75" customHeight="1">
      <c r="G188" s="10"/>
      <c r="S188" s="10"/>
      <c r="X188" s="10"/>
      <c r="AV188" s="10"/>
      <c r="AW188" s="10"/>
      <c r="BB188" s="10"/>
      <c r="BC188" s="10"/>
    </row>
    <row r="189" spans="7:55" ht="39.75" customHeight="1">
      <c r="G189" s="10"/>
      <c r="S189" s="10"/>
      <c r="X189" s="10"/>
      <c r="AV189" s="10"/>
      <c r="AW189" s="10"/>
      <c r="BB189" s="10"/>
      <c r="BC189" s="10"/>
    </row>
    <row r="190" spans="7:55" ht="39.75" customHeight="1">
      <c r="G190" s="10"/>
      <c r="S190" s="10"/>
      <c r="X190" s="10"/>
      <c r="AV190" s="10"/>
      <c r="AW190" s="10"/>
      <c r="BB190" s="10"/>
      <c r="BC190" s="10"/>
    </row>
    <row r="191" spans="7:55" ht="39.75" customHeight="1">
      <c r="G191" s="10"/>
      <c r="S191" s="10"/>
      <c r="X191" s="10"/>
      <c r="AV191" s="10"/>
      <c r="AW191" s="10"/>
      <c r="BB191" s="10"/>
      <c r="BC191" s="10"/>
    </row>
    <row r="192" spans="7:55" ht="39.75" customHeight="1">
      <c r="G192" s="10"/>
      <c r="S192" s="10"/>
      <c r="X192" s="10"/>
      <c r="AV192" s="10"/>
      <c r="AW192" s="10"/>
      <c r="BB192" s="10"/>
      <c r="BC192" s="10"/>
    </row>
    <row r="193" spans="7:55" ht="39.75" customHeight="1">
      <c r="G193" s="10"/>
      <c r="S193" s="10"/>
      <c r="X193" s="10"/>
      <c r="AV193" s="10"/>
      <c r="AW193" s="10"/>
      <c r="BB193" s="10"/>
      <c r="BC193" s="10"/>
    </row>
    <row r="194" spans="7:55" ht="39.75" customHeight="1">
      <c r="G194" s="10"/>
      <c r="S194" s="10"/>
      <c r="X194" s="10"/>
      <c r="AV194" s="10"/>
      <c r="AW194" s="10"/>
      <c r="BB194" s="10"/>
      <c r="BC194" s="10"/>
    </row>
    <row r="195" spans="7:55" ht="39.75" customHeight="1">
      <c r="G195" s="10"/>
      <c r="S195" s="10"/>
      <c r="X195" s="10"/>
      <c r="AV195" s="10"/>
      <c r="AW195" s="10"/>
      <c r="BB195" s="10"/>
      <c r="BC195" s="10"/>
    </row>
    <row r="196" spans="7:55" ht="39.75" customHeight="1">
      <c r="G196" s="10"/>
      <c r="S196" s="10"/>
      <c r="X196" s="10"/>
      <c r="AV196" s="10"/>
      <c r="AW196" s="10"/>
      <c r="BB196" s="10"/>
      <c r="BC196" s="10"/>
    </row>
    <row r="197" spans="7:55" ht="39.75" customHeight="1">
      <c r="G197" s="10"/>
      <c r="S197" s="10"/>
      <c r="X197" s="10"/>
      <c r="AV197" s="10"/>
      <c r="AW197" s="10"/>
      <c r="BB197" s="10"/>
      <c r="BC197" s="10"/>
    </row>
    <row r="198" spans="7:55" ht="39.75" customHeight="1">
      <c r="G198" s="10"/>
      <c r="S198" s="10"/>
      <c r="X198" s="10"/>
      <c r="AV198" s="10"/>
      <c r="AW198" s="10"/>
      <c r="BB198" s="10"/>
      <c r="BC198" s="10"/>
    </row>
    <row r="199" spans="7:55" ht="39.75" customHeight="1">
      <c r="G199" s="10"/>
      <c r="S199" s="10"/>
      <c r="X199" s="10"/>
      <c r="AV199" s="10"/>
      <c r="AW199" s="10"/>
      <c r="BB199" s="10"/>
      <c r="BC199" s="10"/>
    </row>
    <row r="200" spans="7:55" ht="39.75" customHeight="1">
      <c r="G200" s="10"/>
      <c r="S200" s="10"/>
      <c r="X200" s="10"/>
      <c r="AV200" s="10"/>
      <c r="AW200" s="10"/>
      <c r="BB200" s="10"/>
      <c r="BC200" s="10"/>
    </row>
    <row r="201" spans="7:55" ht="39.75" customHeight="1">
      <c r="G201" s="10"/>
      <c r="S201" s="10"/>
      <c r="X201" s="10"/>
      <c r="AV201" s="10"/>
      <c r="AW201" s="10"/>
      <c r="BB201" s="10"/>
      <c r="BC201" s="10"/>
    </row>
    <row r="202" spans="7:55" ht="39.75" customHeight="1">
      <c r="G202" s="10"/>
      <c r="S202" s="10"/>
      <c r="X202" s="10"/>
      <c r="AV202" s="10"/>
      <c r="AW202" s="10"/>
      <c r="BB202" s="10"/>
      <c r="BC202" s="10"/>
    </row>
    <row r="203" spans="7:55" ht="39.75" customHeight="1">
      <c r="G203" s="10"/>
      <c r="S203" s="10"/>
      <c r="X203" s="10"/>
      <c r="AV203" s="10"/>
      <c r="AW203" s="10"/>
      <c r="BB203" s="10"/>
      <c r="BC203" s="10"/>
    </row>
    <row r="204" spans="7:55" ht="39.75" customHeight="1">
      <c r="G204" s="10"/>
      <c r="S204" s="10"/>
      <c r="X204" s="10"/>
      <c r="AV204" s="10"/>
      <c r="AW204" s="10"/>
      <c r="BB204" s="10"/>
      <c r="BC204" s="10"/>
    </row>
    <row r="205" spans="7:55" ht="39.75" customHeight="1">
      <c r="G205" s="10"/>
      <c r="S205" s="10"/>
      <c r="X205" s="10"/>
      <c r="AV205" s="10"/>
      <c r="AW205" s="10"/>
      <c r="BB205" s="10"/>
      <c r="BC205" s="10"/>
    </row>
    <row r="206" spans="7:55" ht="39.75" customHeight="1">
      <c r="G206" s="10"/>
      <c r="S206" s="10"/>
      <c r="X206" s="10"/>
      <c r="AV206" s="10"/>
      <c r="AW206" s="10"/>
      <c r="BB206" s="10"/>
      <c r="BC206" s="10"/>
    </row>
    <row r="207" spans="7:55" ht="39.75" customHeight="1">
      <c r="G207" s="10"/>
      <c r="S207" s="10"/>
      <c r="X207" s="10"/>
      <c r="AV207" s="10"/>
      <c r="AW207" s="10"/>
      <c r="BB207" s="10"/>
      <c r="BC207" s="10"/>
    </row>
    <row r="208" spans="7:55" ht="39.75" customHeight="1">
      <c r="G208" s="10"/>
      <c r="S208" s="10"/>
      <c r="X208" s="10"/>
      <c r="AV208" s="10"/>
      <c r="AW208" s="10"/>
      <c r="BB208" s="10"/>
      <c r="BC208" s="10"/>
    </row>
    <row r="209" spans="7:55" ht="39.75" customHeight="1">
      <c r="G209" s="10"/>
      <c r="S209" s="10"/>
      <c r="X209" s="10"/>
      <c r="AV209" s="10"/>
      <c r="AW209" s="10"/>
      <c r="BB209" s="10"/>
      <c r="BC209" s="10"/>
    </row>
    <row r="210" spans="7:55" ht="39.75" customHeight="1">
      <c r="G210" s="10"/>
      <c r="S210" s="10"/>
      <c r="X210" s="10"/>
      <c r="AV210" s="10"/>
      <c r="AW210" s="10"/>
      <c r="BB210" s="10"/>
      <c r="BC210" s="10"/>
    </row>
    <row r="211" spans="7:55" ht="39.75" customHeight="1">
      <c r="G211" s="10"/>
      <c r="S211" s="10"/>
      <c r="X211" s="10"/>
      <c r="AV211" s="10"/>
      <c r="AW211" s="10"/>
      <c r="BB211" s="10"/>
      <c r="BC211" s="10"/>
    </row>
    <row r="212" spans="7:55" ht="39.75" customHeight="1">
      <c r="G212" s="10"/>
      <c r="S212" s="10"/>
      <c r="X212" s="10"/>
      <c r="AV212" s="10"/>
      <c r="AW212" s="10"/>
      <c r="BB212" s="10"/>
      <c r="BC212" s="10"/>
    </row>
    <row r="213" spans="7:55" ht="39.75" customHeight="1">
      <c r="G213" s="10"/>
      <c r="S213" s="10"/>
      <c r="X213" s="10"/>
      <c r="AV213" s="10"/>
      <c r="AW213" s="10"/>
      <c r="BB213" s="10"/>
      <c r="BC213" s="10"/>
    </row>
    <row r="214" spans="7:55" ht="39.75" customHeight="1">
      <c r="G214" s="10"/>
      <c r="S214" s="10"/>
      <c r="X214" s="10"/>
      <c r="AV214" s="10"/>
      <c r="AW214" s="10"/>
      <c r="BB214" s="10"/>
      <c r="BC214" s="10"/>
    </row>
    <row r="215" spans="7:55" ht="39.75" customHeight="1">
      <c r="G215" s="10"/>
      <c r="S215" s="10"/>
      <c r="X215" s="10"/>
      <c r="AV215" s="10"/>
      <c r="AW215" s="10"/>
      <c r="BB215" s="10"/>
      <c r="BC215" s="10"/>
    </row>
    <row r="216" spans="7:55" ht="39.75" customHeight="1">
      <c r="G216" s="10"/>
      <c r="S216" s="10"/>
      <c r="X216" s="10"/>
      <c r="AV216" s="10"/>
      <c r="AW216" s="10"/>
      <c r="BB216" s="10"/>
      <c r="BC216" s="10"/>
    </row>
    <row r="217" spans="7:55" ht="39.75" customHeight="1">
      <c r="G217" s="10"/>
      <c r="S217" s="10"/>
      <c r="X217" s="10"/>
      <c r="AV217" s="10"/>
      <c r="AW217" s="10"/>
      <c r="BB217" s="10"/>
      <c r="BC217" s="10"/>
    </row>
    <row r="218" spans="7:55" ht="39.75" customHeight="1">
      <c r="G218" s="10"/>
      <c r="S218" s="10"/>
      <c r="X218" s="10"/>
      <c r="AV218" s="10"/>
      <c r="AW218" s="10"/>
      <c r="BB218" s="10"/>
      <c r="BC218" s="10"/>
    </row>
    <row r="219" spans="7:55" ht="39.75" customHeight="1">
      <c r="G219" s="10"/>
      <c r="S219" s="10"/>
      <c r="X219" s="10"/>
      <c r="AV219" s="10"/>
      <c r="AW219" s="10"/>
      <c r="BB219" s="10"/>
      <c r="BC219" s="10"/>
    </row>
    <row r="220" spans="7:55" ht="39.75" customHeight="1">
      <c r="G220" s="10"/>
      <c r="S220" s="10"/>
      <c r="X220" s="10"/>
      <c r="AV220" s="10"/>
      <c r="AW220" s="10"/>
      <c r="BB220" s="10"/>
      <c r="BC220" s="10"/>
    </row>
    <row r="221" spans="7:55" ht="39.75" customHeight="1">
      <c r="G221" s="10"/>
      <c r="S221" s="10"/>
      <c r="X221" s="10"/>
      <c r="AV221" s="10"/>
      <c r="AW221" s="10"/>
      <c r="BB221" s="10"/>
      <c r="BC221" s="10"/>
    </row>
    <row r="222" spans="7:55" ht="39.75" customHeight="1">
      <c r="G222" s="10"/>
      <c r="S222" s="10"/>
      <c r="X222" s="10"/>
      <c r="AV222" s="10"/>
      <c r="AW222" s="10"/>
      <c r="BB222" s="10"/>
      <c r="BC222" s="10"/>
    </row>
    <row r="223" spans="7:55" ht="39.75" customHeight="1">
      <c r="G223" s="10"/>
      <c r="S223" s="10"/>
      <c r="X223" s="10"/>
      <c r="AV223" s="10"/>
      <c r="AW223" s="10"/>
      <c r="BB223" s="10"/>
      <c r="BC223" s="10"/>
    </row>
    <row r="224" spans="7:55" ht="39.75" customHeight="1">
      <c r="G224" s="10"/>
      <c r="S224" s="10"/>
      <c r="X224" s="10"/>
      <c r="AV224" s="10"/>
      <c r="AW224" s="10"/>
      <c r="BB224" s="10"/>
      <c r="BC224" s="10"/>
    </row>
    <row r="225" spans="7:55" ht="39.75" customHeight="1">
      <c r="G225" s="10"/>
      <c r="S225" s="10"/>
      <c r="X225" s="10"/>
      <c r="AV225" s="10"/>
      <c r="AW225" s="10"/>
      <c r="BB225" s="10"/>
      <c r="BC225" s="10"/>
    </row>
    <row r="226" spans="7:55" ht="39.75" customHeight="1">
      <c r="G226" s="10"/>
      <c r="S226" s="10"/>
      <c r="X226" s="10"/>
      <c r="AV226" s="10"/>
      <c r="AW226" s="10"/>
      <c r="BB226" s="10"/>
      <c r="BC226" s="10"/>
    </row>
    <row r="227" spans="7:55" ht="39.75" customHeight="1">
      <c r="G227" s="10"/>
      <c r="S227" s="10"/>
      <c r="X227" s="10"/>
      <c r="AV227" s="10"/>
      <c r="AW227" s="10"/>
      <c r="BB227" s="10"/>
      <c r="BC227" s="10"/>
    </row>
    <row r="228" spans="7:55" ht="39.75" customHeight="1">
      <c r="G228" s="10"/>
      <c r="S228" s="10"/>
      <c r="X228" s="10"/>
      <c r="AV228" s="10"/>
      <c r="AW228" s="10"/>
      <c r="BB228" s="10"/>
      <c r="BC228" s="10"/>
    </row>
    <row r="229" spans="7:55" ht="39.75" customHeight="1">
      <c r="G229" s="10"/>
      <c r="S229" s="10"/>
      <c r="X229" s="10"/>
      <c r="AV229" s="10"/>
      <c r="AW229" s="10"/>
      <c r="BB229" s="10"/>
      <c r="BC229" s="10"/>
    </row>
    <row r="230" spans="7:55" ht="39.75" customHeight="1">
      <c r="G230" s="10"/>
      <c r="S230" s="10"/>
      <c r="X230" s="10"/>
      <c r="AV230" s="10"/>
      <c r="AW230" s="10"/>
      <c r="BB230" s="10"/>
      <c r="BC230" s="10"/>
    </row>
    <row r="231" spans="7:55" ht="39.75" customHeight="1">
      <c r="G231" s="10"/>
      <c r="S231" s="10"/>
      <c r="X231" s="10"/>
      <c r="AV231" s="10"/>
      <c r="AW231" s="10"/>
      <c r="BB231" s="10"/>
      <c r="BC231" s="10"/>
    </row>
    <row r="232" spans="7:55" ht="39.75" customHeight="1">
      <c r="G232" s="10"/>
      <c r="S232" s="10"/>
      <c r="X232" s="10"/>
      <c r="AV232" s="10"/>
      <c r="AW232" s="10"/>
      <c r="BB232" s="10"/>
      <c r="BC232" s="10"/>
    </row>
    <row r="233" spans="7:55" ht="39.75" customHeight="1">
      <c r="G233" s="10"/>
      <c r="S233" s="10"/>
      <c r="X233" s="10"/>
      <c r="AV233" s="10"/>
      <c r="AW233" s="10"/>
      <c r="BB233" s="10"/>
      <c r="BC233" s="10"/>
    </row>
    <row r="234" spans="7:55" ht="39.75" customHeight="1">
      <c r="G234" s="10"/>
      <c r="S234" s="10"/>
      <c r="X234" s="10"/>
      <c r="AV234" s="10"/>
      <c r="AW234" s="10"/>
      <c r="BB234" s="10"/>
      <c r="BC234" s="10"/>
    </row>
    <row r="235" spans="7:55" ht="39.75" customHeight="1">
      <c r="G235" s="10"/>
      <c r="S235" s="10"/>
      <c r="X235" s="10"/>
      <c r="AV235" s="10"/>
      <c r="AW235" s="10"/>
      <c r="BB235" s="10"/>
      <c r="BC235" s="10"/>
    </row>
    <row r="236" spans="7:55" ht="39.75" customHeight="1">
      <c r="G236" s="10"/>
      <c r="S236" s="10"/>
      <c r="X236" s="10"/>
      <c r="AV236" s="10"/>
      <c r="AW236" s="10"/>
      <c r="BB236" s="10"/>
      <c r="BC236" s="10"/>
    </row>
    <row r="237" spans="7:55" ht="39.75" customHeight="1">
      <c r="G237" s="10"/>
      <c r="S237" s="10"/>
      <c r="X237" s="10"/>
      <c r="AV237" s="10"/>
      <c r="AW237" s="10"/>
      <c r="BB237" s="10"/>
      <c r="BC237" s="10"/>
    </row>
    <row r="238" spans="7:55" ht="39.75" customHeight="1">
      <c r="G238" s="10"/>
      <c r="S238" s="10"/>
      <c r="X238" s="10"/>
      <c r="AV238" s="10"/>
      <c r="AW238" s="10"/>
      <c r="BB238" s="10"/>
      <c r="BC238" s="10"/>
    </row>
    <row r="239" spans="7:55" ht="39.75" customHeight="1">
      <c r="G239" s="10"/>
      <c r="S239" s="10"/>
      <c r="X239" s="10"/>
      <c r="AV239" s="10"/>
      <c r="AW239" s="10"/>
      <c r="BB239" s="10"/>
      <c r="BC239" s="10"/>
    </row>
    <row r="240" spans="7:55" ht="39.75" customHeight="1">
      <c r="G240" s="10"/>
      <c r="S240" s="10"/>
      <c r="X240" s="10"/>
      <c r="AV240" s="10"/>
      <c r="AW240" s="10"/>
      <c r="BB240" s="10"/>
      <c r="BC240" s="10"/>
    </row>
    <row r="241" spans="7:55" ht="39.75" customHeight="1">
      <c r="G241" s="10"/>
      <c r="S241" s="10"/>
      <c r="X241" s="10"/>
      <c r="AV241" s="10"/>
      <c r="AW241" s="10"/>
      <c r="BB241" s="10"/>
      <c r="BC241" s="10"/>
    </row>
    <row r="242" spans="7:55" ht="39.75" customHeight="1">
      <c r="G242" s="10"/>
      <c r="S242" s="10"/>
      <c r="X242" s="10"/>
      <c r="AV242" s="10"/>
      <c r="AW242" s="10"/>
      <c r="BB242" s="10"/>
      <c r="BC242" s="10"/>
    </row>
    <row r="243" spans="7:55" ht="39.75" customHeight="1">
      <c r="G243" s="10"/>
      <c r="S243" s="10"/>
      <c r="X243" s="10"/>
      <c r="AV243" s="10"/>
      <c r="AW243" s="10"/>
      <c r="BB243" s="10"/>
      <c r="BC243" s="10"/>
    </row>
    <row r="244" spans="7:55" ht="39.75" customHeight="1">
      <c r="G244" s="10"/>
      <c r="S244" s="10"/>
      <c r="X244" s="10"/>
      <c r="AV244" s="10"/>
      <c r="AW244" s="10"/>
      <c r="BB244" s="10"/>
      <c r="BC244" s="10"/>
    </row>
    <row r="245" spans="7:55" ht="39.75" customHeight="1">
      <c r="G245" s="10"/>
      <c r="S245" s="10"/>
      <c r="X245" s="10"/>
      <c r="AV245" s="10"/>
      <c r="AW245" s="10"/>
      <c r="BB245" s="10"/>
      <c r="BC245" s="10"/>
    </row>
    <row r="246" spans="7:55" ht="39.75" customHeight="1">
      <c r="G246" s="10"/>
      <c r="S246" s="10"/>
      <c r="X246" s="10"/>
      <c r="AV246" s="10"/>
      <c r="AW246" s="10"/>
      <c r="BB246" s="10"/>
      <c r="BC246" s="10"/>
    </row>
    <row r="247" spans="7:55" ht="39.75" customHeight="1">
      <c r="G247" s="10"/>
      <c r="S247" s="10"/>
      <c r="X247" s="10"/>
      <c r="AV247" s="10"/>
      <c r="AW247" s="10"/>
      <c r="BB247" s="10"/>
      <c r="BC247" s="10"/>
    </row>
    <row r="248" spans="7:55" ht="39.75" customHeight="1">
      <c r="G248" s="10"/>
      <c r="S248" s="10"/>
      <c r="X248" s="10"/>
      <c r="AV248" s="10"/>
      <c r="AW248" s="10"/>
      <c r="BB248" s="10"/>
      <c r="BC248" s="10"/>
    </row>
    <row r="249" spans="7:55" ht="39.75" customHeight="1">
      <c r="G249" s="10"/>
      <c r="S249" s="10"/>
      <c r="X249" s="10"/>
      <c r="AV249" s="10"/>
      <c r="AW249" s="10"/>
      <c r="BB249" s="10"/>
      <c r="BC249" s="10"/>
    </row>
    <row r="250" spans="7:55" ht="39.75" customHeight="1">
      <c r="G250" s="10"/>
      <c r="S250" s="10"/>
      <c r="X250" s="10"/>
      <c r="AV250" s="10"/>
      <c r="AW250" s="10"/>
      <c r="BB250" s="10"/>
      <c r="BC250" s="10"/>
    </row>
    <row r="251" spans="7:55" ht="39.75" customHeight="1">
      <c r="G251" s="10"/>
      <c r="S251" s="10"/>
      <c r="X251" s="10"/>
      <c r="AV251" s="10"/>
      <c r="AW251" s="10"/>
      <c r="BB251" s="10"/>
      <c r="BC251" s="10"/>
    </row>
    <row r="252" spans="7:55" ht="39.75" customHeight="1">
      <c r="G252" s="10"/>
      <c r="S252" s="10"/>
      <c r="X252" s="10"/>
      <c r="AV252" s="10"/>
      <c r="AW252" s="10"/>
      <c r="BB252" s="10"/>
      <c r="BC252" s="10"/>
    </row>
    <row r="253" spans="7:55" ht="39.75" customHeight="1">
      <c r="G253" s="10"/>
      <c r="S253" s="10"/>
      <c r="X253" s="10"/>
      <c r="AV253" s="10"/>
      <c r="AW253" s="10"/>
      <c r="BB253" s="10"/>
      <c r="BC253" s="10"/>
    </row>
    <row r="254" spans="7:55" ht="39.75" customHeight="1">
      <c r="G254" s="10"/>
      <c r="S254" s="10"/>
      <c r="X254" s="10"/>
      <c r="AV254" s="10"/>
      <c r="AW254" s="10"/>
      <c r="BB254" s="10"/>
      <c r="BC254" s="10"/>
    </row>
    <row r="255" spans="7:55" ht="39.75" customHeight="1">
      <c r="G255" s="10"/>
      <c r="S255" s="10"/>
      <c r="X255" s="10"/>
      <c r="AV255" s="10"/>
      <c r="AW255" s="10"/>
      <c r="BB255" s="10"/>
      <c r="BC255" s="10"/>
    </row>
    <row r="256" spans="7:55" ht="39.75" customHeight="1">
      <c r="G256" s="10"/>
      <c r="S256" s="10"/>
      <c r="X256" s="10"/>
      <c r="AV256" s="10"/>
      <c r="AW256" s="10"/>
      <c r="BB256" s="10"/>
      <c r="BC256" s="10"/>
    </row>
    <row r="257" spans="7:55" ht="39.75" customHeight="1">
      <c r="G257" s="10"/>
      <c r="S257" s="10"/>
      <c r="X257" s="10"/>
      <c r="AV257" s="10"/>
      <c r="AW257" s="10"/>
      <c r="BB257" s="10"/>
      <c r="BC257" s="10"/>
    </row>
    <row r="258" spans="7:55" ht="39.75" customHeight="1">
      <c r="G258" s="10"/>
      <c r="S258" s="10"/>
      <c r="X258" s="10"/>
      <c r="AV258" s="10"/>
      <c r="AW258" s="10"/>
      <c r="BB258" s="10"/>
      <c r="BC258" s="10"/>
    </row>
    <row r="259" spans="7:55" ht="39.75" customHeight="1">
      <c r="G259" s="10"/>
      <c r="S259" s="10"/>
      <c r="X259" s="10"/>
      <c r="AV259" s="10"/>
      <c r="AW259" s="10"/>
      <c r="BB259" s="10"/>
      <c r="BC259" s="10"/>
    </row>
    <row r="260" spans="7:55" ht="39.75" customHeight="1">
      <c r="G260" s="10"/>
      <c r="S260" s="10"/>
      <c r="X260" s="10"/>
      <c r="AV260" s="10"/>
      <c r="AW260" s="10"/>
      <c r="BB260" s="10"/>
      <c r="BC260" s="10"/>
    </row>
    <row r="261" spans="7:55" ht="39.75" customHeight="1">
      <c r="G261" s="10"/>
      <c r="S261" s="10"/>
      <c r="X261" s="10"/>
      <c r="AV261" s="10"/>
      <c r="AW261" s="10"/>
      <c r="BB261" s="10"/>
      <c r="BC261" s="10"/>
    </row>
    <row r="262" spans="7:55" ht="39.75" customHeight="1">
      <c r="G262" s="10"/>
      <c r="S262" s="10"/>
      <c r="X262" s="10"/>
      <c r="AV262" s="10"/>
      <c r="AW262" s="10"/>
      <c r="BB262" s="10"/>
      <c r="BC262" s="10"/>
    </row>
    <row r="263" spans="7:55" ht="39.75" customHeight="1">
      <c r="G263" s="10"/>
      <c r="S263" s="10"/>
      <c r="X263" s="10"/>
      <c r="AV263" s="10"/>
      <c r="AW263" s="10"/>
      <c r="BB263" s="10"/>
      <c r="BC263" s="10"/>
    </row>
    <row r="264" spans="7:55" ht="39.75" customHeight="1">
      <c r="G264" s="10"/>
      <c r="S264" s="10"/>
      <c r="X264" s="10"/>
      <c r="AV264" s="10"/>
      <c r="AW264" s="10"/>
      <c r="BB264" s="10"/>
      <c r="BC264" s="10"/>
    </row>
    <row r="265" spans="7:55" ht="39.75" customHeight="1">
      <c r="G265" s="10"/>
      <c r="S265" s="10"/>
      <c r="X265" s="10"/>
      <c r="AV265" s="10"/>
      <c r="AW265" s="10"/>
      <c r="BB265" s="10"/>
      <c r="BC265" s="10"/>
    </row>
    <row r="266" spans="7:55" ht="39.75" customHeight="1">
      <c r="G266" s="10"/>
      <c r="S266" s="10"/>
      <c r="X266" s="10"/>
      <c r="AV266" s="10"/>
      <c r="AW266" s="10"/>
      <c r="BB266" s="10"/>
      <c r="BC266" s="10"/>
    </row>
    <row r="267" spans="7:55" ht="39.75" customHeight="1">
      <c r="G267" s="10"/>
      <c r="S267" s="10"/>
      <c r="X267" s="10"/>
      <c r="AV267" s="10"/>
      <c r="AW267" s="10"/>
      <c r="BB267" s="10"/>
      <c r="BC267" s="10"/>
    </row>
    <row r="268" spans="7:55" ht="39.75" customHeight="1">
      <c r="G268" s="10"/>
      <c r="S268" s="10"/>
      <c r="X268" s="10"/>
      <c r="AV268" s="10"/>
      <c r="AW268" s="10"/>
      <c r="BB268" s="10"/>
      <c r="BC268" s="10"/>
    </row>
    <row r="269" spans="7:55" ht="39.75" customHeight="1">
      <c r="G269" s="10"/>
      <c r="S269" s="10"/>
      <c r="X269" s="10"/>
      <c r="AV269" s="10"/>
      <c r="AW269" s="10"/>
      <c r="BB269" s="10"/>
      <c r="BC269" s="10"/>
    </row>
    <row r="270" spans="7:55" ht="39.75" customHeight="1">
      <c r="G270" s="10"/>
      <c r="S270" s="10"/>
      <c r="X270" s="10"/>
      <c r="AV270" s="10"/>
      <c r="AW270" s="10"/>
      <c r="BB270" s="10"/>
      <c r="BC270" s="10"/>
    </row>
    <row r="271" spans="7:55" ht="39.75" customHeight="1">
      <c r="G271" s="10"/>
      <c r="S271" s="10"/>
      <c r="X271" s="10"/>
      <c r="AV271" s="10"/>
      <c r="AW271" s="10"/>
      <c r="BB271" s="10"/>
      <c r="BC271" s="10"/>
    </row>
    <row r="272" spans="7:55" ht="39.75" customHeight="1">
      <c r="G272" s="10"/>
      <c r="S272" s="10"/>
      <c r="X272" s="10"/>
      <c r="AV272" s="10"/>
      <c r="AW272" s="10"/>
      <c r="BB272" s="10"/>
      <c r="BC272" s="10"/>
    </row>
    <row r="273" spans="7:55" ht="39.75" customHeight="1">
      <c r="G273" s="10"/>
      <c r="S273" s="10"/>
      <c r="X273" s="10"/>
      <c r="AV273" s="10"/>
      <c r="AW273" s="10"/>
      <c r="BB273" s="10"/>
      <c r="BC273" s="10"/>
    </row>
    <row r="274" spans="7:55" ht="39.75" customHeight="1">
      <c r="G274" s="10"/>
      <c r="S274" s="10"/>
      <c r="X274" s="10"/>
      <c r="AV274" s="10"/>
      <c r="AW274" s="10"/>
      <c r="BB274" s="10"/>
      <c r="BC274" s="10"/>
    </row>
    <row r="275" spans="7:55" ht="39.75" customHeight="1">
      <c r="G275" s="10"/>
      <c r="S275" s="10"/>
      <c r="X275" s="10"/>
      <c r="AV275" s="10"/>
      <c r="AW275" s="10"/>
      <c r="BB275" s="10"/>
      <c r="BC275" s="10"/>
    </row>
    <row r="276" spans="7:55" ht="39.75" customHeight="1">
      <c r="G276" s="10"/>
      <c r="S276" s="10"/>
      <c r="X276" s="10"/>
      <c r="AV276" s="10"/>
      <c r="AW276" s="10"/>
      <c r="BB276" s="10"/>
      <c r="BC276" s="10"/>
    </row>
    <row r="277" spans="7:55" ht="39.75" customHeight="1">
      <c r="G277" s="10"/>
      <c r="S277" s="10"/>
      <c r="X277" s="10"/>
      <c r="AV277" s="10"/>
      <c r="AW277" s="10"/>
      <c r="BB277" s="10"/>
      <c r="BC277" s="10"/>
    </row>
    <row r="278" spans="7:55" ht="39.75" customHeight="1">
      <c r="G278" s="10"/>
      <c r="S278" s="10"/>
      <c r="X278" s="10"/>
      <c r="AV278" s="10"/>
      <c r="AW278" s="10"/>
      <c r="BB278" s="10"/>
      <c r="BC278" s="10"/>
    </row>
    <row r="279" spans="7:55" ht="39.75" customHeight="1">
      <c r="G279" s="10"/>
      <c r="S279" s="10"/>
      <c r="X279" s="10"/>
      <c r="AV279" s="10"/>
      <c r="AW279" s="10"/>
      <c r="BB279" s="10"/>
      <c r="BC279" s="10"/>
    </row>
    <row r="280" spans="7:55" ht="39.75" customHeight="1">
      <c r="G280" s="10"/>
      <c r="S280" s="10"/>
      <c r="X280" s="10"/>
      <c r="AV280" s="10"/>
      <c r="AW280" s="10"/>
      <c r="BB280" s="10"/>
      <c r="BC280" s="10"/>
    </row>
    <row r="281" spans="7:55" ht="39.75" customHeight="1">
      <c r="G281" s="10"/>
      <c r="S281" s="10"/>
      <c r="X281" s="10"/>
      <c r="AV281" s="10"/>
      <c r="AW281" s="10"/>
      <c r="BB281" s="10"/>
      <c r="BC281" s="10"/>
    </row>
    <row r="282" spans="7:55" ht="39.75" customHeight="1">
      <c r="G282" s="10"/>
      <c r="S282" s="10"/>
      <c r="X282" s="10"/>
      <c r="AV282" s="10"/>
      <c r="AW282" s="10"/>
      <c r="BB282" s="10"/>
      <c r="BC282" s="10"/>
    </row>
    <row r="283" spans="7:55" ht="39.75" customHeight="1">
      <c r="G283" s="10"/>
      <c r="S283" s="10"/>
      <c r="X283" s="10"/>
      <c r="AV283" s="10"/>
      <c r="AW283" s="10"/>
      <c r="BB283" s="10"/>
      <c r="BC283" s="10"/>
    </row>
    <row r="284" spans="7:55" ht="39.75" customHeight="1">
      <c r="G284" s="10"/>
      <c r="S284" s="10"/>
      <c r="X284" s="10"/>
      <c r="AV284" s="10"/>
      <c r="AW284" s="10"/>
      <c r="BB284" s="10"/>
      <c r="BC284" s="10"/>
    </row>
    <row r="285" spans="7:55" ht="39.75" customHeight="1">
      <c r="G285" s="10"/>
      <c r="S285" s="10"/>
      <c r="X285" s="10"/>
      <c r="AV285" s="10"/>
      <c r="AW285" s="10"/>
      <c r="BB285" s="10"/>
      <c r="BC285" s="10"/>
    </row>
    <row r="286" spans="7:55" ht="39.75" customHeight="1">
      <c r="G286" s="10"/>
      <c r="S286" s="10"/>
      <c r="X286" s="10"/>
      <c r="AV286" s="10"/>
      <c r="AW286" s="10"/>
      <c r="BB286" s="10"/>
      <c r="BC286" s="10"/>
    </row>
    <row r="287" spans="7:55" ht="39.75" customHeight="1">
      <c r="G287" s="10"/>
      <c r="S287" s="10"/>
      <c r="X287" s="10"/>
      <c r="AV287" s="10"/>
      <c r="AW287" s="10"/>
      <c r="BB287" s="10"/>
      <c r="BC287" s="10"/>
    </row>
    <row r="288" spans="7:55" ht="39.75" customHeight="1">
      <c r="G288" s="10"/>
      <c r="S288" s="10"/>
      <c r="X288" s="10"/>
      <c r="AV288" s="10"/>
      <c r="AW288" s="10"/>
      <c r="BB288" s="10"/>
      <c r="BC288" s="10"/>
    </row>
    <row r="289" spans="7:55" ht="39.75" customHeight="1">
      <c r="G289" s="10"/>
      <c r="S289" s="10"/>
      <c r="X289" s="10"/>
      <c r="AV289" s="10"/>
      <c r="AW289" s="10"/>
      <c r="BB289" s="10"/>
      <c r="BC289" s="10"/>
    </row>
    <row r="290" spans="7:55" ht="39.75" customHeight="1">
      <c r="G290" s="10"/>
      <c r="S290" s="10"/>
      <c r="X290" s="10"/>
      <c r="AV290" s="10"/>
      <c r="AW290" s="10"/>
      <c r="BB290" s="10"/>
      <c r="BC290" s="10"/>
    </row>
    <row r="291" spans="7:55" ht="39.75" customHeight="1">
      <c r="G291" s="10"/>
      <c r="S291" s="10"/>
      <c r="X291" s="10"/>
      <c r="AV291" s="10"/>
      <c r="AW291" s="10"/>
      <c r="BB291" s="10"/>
      <c r="BC291" s="10"/>
    </row>
    <row r="292" spans="7:55" ht="39.75" customHeight="1">
      <c r="G292" s="10"/>
      <c r="S292" s="10"/>
      <c r="X292" s="10"/>
      <c r="AV292" s="10"/>
      <c r="AW292" s="10"/>
      <c r="BB292" s="10"/>
      <c r="BC292" s="10"/>
    </row>
    <row r="293" spans="7:55" ht="39.75" customHeight="1">
      <c r="G293" s="10"/>
      <c r="S293" s="10"/>
      <c r="X293" s="10"/>
      <c r="AV293" s="10"/>
      <c r="AW293" s="10"/>
      <c r="BB293" s="10"/>
      <c r="BC293" s="10"/>
    </row>
    <row r="294" spans="7:55" ht="39.75" customHeight="1">
      <c r="G294" s="10"/>
      <c r="S294" s="10"/>
      <c r="X294" s="10"/>
      <c r="AV294" s="10"/>
      <c r="AW294" s="10"/>
      <c r="BB294" s="10"/>
      <c r="BC294" s="10"/>
    </row>
    <row r="295" spans="7:55" ht="39.75" customHeight="1">
      <c r="G295" s="10"/>
      <c r="S295" s="10"/>
      <c r="X295" s="10"/>
      <c r="AV295" s="10"/>
      <c r="AW295" s="10"/>
      <c r="BB295" s="10"/>
      <c r="BC295" s="10"/>
    </row>
    <row r="296" spans="7:55" ht="39.75" customHeight="1">
      <c r="G296" s="10"/>
      <c r="S296" s="10"/>
      <c r="X296" s="10"/>
      <c r="AV296" s="10"/>
      <c r="AW296" s="10"/>
      <c r="BB296" s="10"/>
      <c r="BC296" s="10"/>
    </row>
    <row r="297" spans="7:55" ht="39.75" customHeight="1">
      <c r="G297" s="10"/>
      <c r="S297" s="10"/>
      <c r="X297" s="10"/>
      <c r="AV297" s="10"/>
      <c r="AW297" s="10"/>
      <c r="BB297" s="10"/>
      <c r="BC297" s="10"/>
    </row>
    <row r="298" spans="7:55" ht="39.75" customHeight="1">
      <c r="G298" s="10"/>
      <c r="S298" s="10"/>
      <c r="X298" s="10"/>
      <c r="AV298" s="10"/>
      <c r="AW298" s="10"/>
      <c r="BB298" s="10"/>
      <c r="BC298" s="10"/>
    </row>
    <row r="299" spans="7:55" ht="39.75" customHeight="1">
      <c r="G299" s="10"/>
      <c r="S299" s="10"/>
      <c r="X299" s="10"/>
      <c r="AV299" s="10"/>
      <c r="AW299" s="10"/>
      <c r="BB299" s="10"/>
      <c r="BC299" s="10"/>
    </row>
    <row r="300" spans="7:55" ht="39.75" customHeight="1">
      <c r="G300" s="10"/>
      <c r="S300" s="10"/>
      <c r="X300" s="10"/>
      <c r="AV300" s="10"/>
      <c r="AW300" s="10"/>
      <c r="BB300" s="10"/>
      <c r="BC300" s="10"/>
    </row>
    <row r="301" spans="7:55" ht="39.75" customHeight="1">
      <c r="G301" s="10"/>
      <c r="S301" s="10"/>
      <c r="X301" s="10"/>
      <c r="AV301" s="10"/>
      <c r="AW301" s="10"/>
      <c r="BB301" s="10"/>
      <c r="BC301" s="10"/>
    </row>
    <row r="302" spans="7:55" ht="39.75" customHeight="1">
      <c r="G302" s="10"/>
      <c r="S302" s="10"/>
      <c r="X302" s="10"/>
      <c r="AV302" s="10"/>
      <c r="AW302" s="10"/>
      <c r="BB302" s="10"/>
      <c r="BC302" s="10"/>
    </row>
    <row r="303" spans="7:55" ht="39.75" customHeight="1">
      <c r="G303" s="10"/>
      <c r="S303" s="10"/>
      <c r="X303" s="10"/>
      <c r="AV303" s="10"/>
      <c r="AW303" s="10"/>
      <c r="BB303" s="10"/>
      <c r="BC303" s="10"/>
    </row>
    <row r="304" spans="7:55" ht="39.75" customHeight="1">
      <c r="G304" s="10"/>
      <c r="S304" s="10"/>
      <c r="X304" s="10"/>
      <c r="AV304" s="10"/>
      <c r="AW304" s="10"/>
      <c r="BB304" s="10"/>
      <c r="BC304" s="10"/>
    </row>
    <row r="305" spans="7:55" ht="39.75" customHeight="1">
      <c r="G305" s="10"/>
      <c r="S305" s="10"/>
      <c r="X305" s="10"/>
      <c r="AV305" s="10"/>
      <c r="AW305" s="10"/>
      <c r="BB305" s="10"/>
      <c r="BC305" s="10"/>
    </row>
    <row r="306" spans="7:55" ht="39.75" customHeight="1">
      <c r="G306" s="10"/>
      <c r="S306" s="10"/>
      <c r="X306" s="10"/>
      <c r="AV306" s="10"/>
      <c r="AW306" s="10"/>
      <c r="BB306" s="10"/>
      <c r="BC306" s="10"/>
    </row>
    <row r="307" spans="7:55" ht="39.75" customHeight="1">
      <c r="G307" s="10"/>
      <c r="S307" s="10"/>
      <c r="X307" s="10"/>
      <c r="AV307" s="10"/>
      <c r="AW307" s="10"/>
      <c r="BB307" s="10"/>
      <c r="BC307" s="10"/>
    </row>
    <row r="308" spans="7:55" ht="39.75" customHeight="1">
      <c r="G308" s="10"/>
      <c r="S308" s="10"/>
      <c r="X308" s="10"/>
      <c r="AV308" s="10"/>
      <c r="AW308" s="10"/>
      <c r="BB308" s="10"/>
      <c r="BC308" s="10"/>
    </row>
    <row r="309" spans="7:55" ht="39.75" customHeight="1">
      <c r="G309" s="10"/>
      <c r="S309" s="10"/>
      <c r="X309" s="10"/>
      <c r="AV309" s="10"/>
      <c r="AW309" s="10"/>
      <c r="BB309" s="10"/>
      <c r="BC309" s="10"/>
    </row>
    <row r="310" spans="7:55" ht="39.75" customHeight="1">
      <c r="G310" s="10"/>
      <c r="S310" s="10"/>
      <c r="X310" s="10"/>
      <c r="AV310" s="10"/>
      <c r="AW310" s="10"/>
      <c r="BB310" s="10"/>
      <c r="BC310" s="10"/>
    </row>
    <row r="311" spans="7:55" ht="39.75" customHeight="1">
      <c r="G311" s="10"/>
      <c r="S311" s="10"/>
      <c r="X311" s="10"/>
      <c r="AV311" s="10"/>
      <c r="AW311" s="10"/>
      <c r="BB311" s="10"/>
      <c r="BC311" s="10"/>
    </row>
    <row r="312" spans="7:55" ht="39.75" customHeight="1">
      <c r="G312" s="10"/>
      <c r="S312" s="10"/>
      <c r="X312" s="10"/>
      <c r="AV312" s="10"/>
      <c r="AW312" s="10"/>
      <c r="BB312" s="10"/>
      <c r="BC312" s="10"/>
    </row>
    <row r="313" spans="7:55" ht="39.75" customHeight="1">
      <c r="G313" s="10"/>
      <c r="S313" s="10"/>
      <c r="X313" s="10"/>
      <c r="AV313" s="10"/>
      <c r="AW313" s="10"/>
      <c r="BB313" s="10"/>
      <c r="BC313" s="10"/>
    </row>
  </sheetData>
  <phoneticPr fontId="5"/>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938839-0D80-437D-B540-903457C4B59B}">
  <sheetPr codeName="Sheet5"/>
  <dimension ref="A1:V15"/>
  <sheetViews>
    <sheetView workbookViewId="0">
      <selection activeCell="B13" sqref="B13"/>
    </sheetView>
  </sheetViews>
  <sheetFormatPr defaultColWidth="9" defaultRowHeight="15.75"/>
  <cols>
    <col min="1" max="16384" width="9" style="4"/>
  </cols>
  <sheetData>
    <row r="1" spans="1:22">
      <c r="A1" s="3" t="s">
        <v>428</v>
      </c>
    </row>
    <row r="2" spans="1:22">
      <c r="A2" s="5"/>
    </row>
    <row r="3" spans="1:22">
      <c r="A3" s="4" t="s">
        <v>429</v>
      </c>
      <c r="B3" s="6" t="s">
        <v>430</v>
      </c>
      <c r="C3" s="6" t="s">
        <v>56</v>
      </c>
      <c r="D3" s="6" t="s">
        <v>55</v>
      </c>
      <c r="E3" s="6" t="s">
        <v>431</v>
      </c>
      <c r="F3" s="4" t="s">
        <v>432</v>
      </c>
      <c r="G3" s="6" t="s">
        <v>433</v>
      </c>
      <c r="H3" s="4" t="s">
        <v>434</v>
      </c>
      <c r="I3" s="4" t="s">
        <v>435</v>
      </c>
      <c r="J3" s="4" t="s">
        <v>436</v>
      </c>
      <c r="K3" s="4" t="s">
        <v>437</v>
      </c>
      <c r="L3" s="6" t="s">
        <v>54</v>
      </c>
      <c r="M3" s="4" t="s">
        <v>438</v>
      </c>
      <c r="N3" s="4" t="s">
        <v>439</v>
      </c>
      <c r="O3" s="4" t="s">
        <v>440</v>
      </c>
      <c r="P3" s="4" t="s">
        <v>441</v>
      </c>
      <c r="Q3" s="4" t="s">
        <v>442</v>
      </c>
      <c r="R3" s="4" t="s">
        <v>443</v>
      </c>
      <c r="S3" s="4" t="s">
        <v>444</v>
      </c>
      <c r="T3" s="4" t="s">
        <v>445</v>
      </c>
      <c r="U3" s="4" t="s">
        <v>446</v>
      </c>
      <c r="V3" s="4" t="s">
        <v>447</v>
      </c>
    </row>
    <row r="4" spans="1:22">
      <c r="A4" s="4" t="s">
        <v>468</v>
      </c>
      <c r="B4" s="7">
        <v>21179</v>
      </c>
      <c r="C4" s="7" t="s">
        <v>448</v>
      </c>
      <c r="D4" s="7" t="s">
        <v>469</v>
      </c>
      <c r="E4" s="7" t="s">
        <v>470</v>
      </c>
      <c r="G4" s="7" t="s">
        <v>471</v>
      </c>
      <c r="H4" s="4" t="s">
        <v>472</v>
      </c>
      <c r="I4" s="4" t="s">
        <v>473</v>
      </c>
      <c r="K4" s="4" t="s">
        <v>474</v>
      </c>
      <c r="L4" s="7" t="s">
        <v>475</v>
      </c>
      <c r="M4" s="4" t="s">
        <v>476</v>
      </c>
      <c r="N4" s="4">
        <v>0</v>
      </c>
      <c r="R4" s="4" t="s">
        <v>477</v>
      </c>
      <c r="S4" s="4" t="s">
        <v>478</v>
      </c>
      <c r="T4" s="4" t="s">
        <v>479</v>
      </c>
      <c r="U4" s="4" t="s">
        <v>480</v>
      </c>
      <c r="V4" s="4" t="s">
        <v>481</v>
      </c>
    </row>
    <row r="5" spans="1:22">
      <c r="A5" s="4" t="s">
        <v>449</v>
      </c>
      <c r="B5" s="4" t="s">
        <v>450</v>
      </c>
      <c r="C5" s="4" t="s">
        <v>451</v>
      </c>
      <c r="D5" s="6" t="s">
        <v>53</v>
      </c>
      <c r="E5" s="4" t="s">
        <v>452</v>
      </c>
      <c r="F5" s="4" t="s">
        <v>453</v>
      </c>
      <c r="G5" s="4" t="s">
        <v>454</v>
      </c>
      <c r="H5" s="4" t="s">
        <v>455</v>
      </c>
      <c r="I5" s="4" t="s">
        <v>456</v>
      </c>
      <c r="J5" s="4" t="s">
        <v>457</v>
      </c>
      <c r="K5" s="4" t="s">
        <v>458</v>
      </c>
      <c r="L5" s="4" t="s">
        <v>459</v>
      </c>
      <c r="M5" s="4" t="s">
        <v>460</v>
      </c>
      <c r="N5" s="6" t="s">
        <v>461</v>
      </c>
      <c r="O5" s="6" t="s">
        <v>52</v>
      </c>
      <c r="P5" s="6" t="s">
        <v>462</v>
      </c>
      <c r="Q5" s="4" t="s">
        <v>463</v>
      </c>
      <c r="R5" s="6" t="s">
        <v>464</v>
      </c>
      <c r="S5" s="4" t="s">
        <v>465</v>
      </c>
      <c r="T5" s="4" t="s">
        <v>466</v>
      </c>
    </row>
    <row r="6" spans="1:22">
      <c r="A6" s="4" t="s">
        <v>482</v>
      </c>
      <c r="C6" s="4" t="s">
        <v>483</v>
      </c>
      <c r="D6" s="7" t="s">
        <v>484</v>
      </c>
      <c r="E6" s="4">
        <v>1</v>
      </c>
      <c r="F6" s="8">
        <v>67500</v>
      </c>
      <c r="G6" s="8">
        <v>67500</v>
      </c>
      <c r="H6" s="8">
        <v>31040</v>
      </c>
      <c r="I6" s="8">
        <v>36460</v>
      </c>
      <c r="J6" s="4">
        <v>54</v>
      </c>
      <c r="L6" s="4" t="s">
        <v>467</v>
      </c>
      <c r="M6" s="4">
        <v>0</v>
      </c>
      <c r="N6" s="7" t="s">
        <v>485</v>
      </c>
      <c r="O6" s="7" t="s">
        <v>486</v>
      </c>
      <c r="P6" s="7"/>
      <c r="Q6" s="9" t="s">
        <v>483</v>
      </c>
      <c r="R6" s="7" t="s">
        <v>483</v>
      </c>
      <c r="S6" s="4">
        <v>9</v>
      </c>
    </row>
    <row r="7" spans="1:22">
      <c r="A7" s="4" t="s">
        <v>482</v>
      </c>
      <c r="C7" s="4" t="s">
        <v>487</v>
      </c>
      <c r="D7" s="4" t="s">
        <v>488</v>
      </c>
      <c r="E7" s="4">
        <v>1</v>
      </c>
      <c r="F7" s="8">
        <v>25000</v>
      </c>
      <c r="G7" s="8">
        <v>25000</v>
      </c>
      <c r="H7" s="8">
        <v>5447</v>
      </c>
      <c r="I7" s="8">
        <v>19553</v>
      </c>
      <c r="J7" s="4">
        <v>78.2</v>
      </c>
      <c r="M7" s="4">
        <v>0</v>
      </c>
      <c r="N7" s="4" t="s">
        <v>485</v>
      </c>
      <c r="O7" s="4" t="s">
        <v>489</v>
      </c>
      <c r="Q7" s="4" t="s">
        <v>487</v>
      </c>
      <c r="R7" s="4" t="s">
        <v>490</v>
      </c>
      <c r="S7" s="4">
        <v>9</v>
      </c>
    </row>
    <row r="8" spans="1:22">
      <c r="F8" s="8"/>
      <c r="G8" s="8">
        <v>92500</v>
      </c>
      <c r="H8" s="8">
        <v>36487</v>
      </c>
      <c r="I8" s="8">
        <v>56013</v>
      </c>
      <c r="J8" s="4">
        <v>60.5</v>
      </c>
      <c r="M8" s="4">
        <v>0</v>
      </c>
    </row>
    <row r="9" spans="1:22">
      <c r="F9" s="8"/>
      <c r="G9" s="8"/>
      <c r="H9" s="8"/>
      <c r="I9" s="8"/>
    </row>
    <row r="10" spans="1:22">
      <c r="F10" s="8"/>
      <c r="G10" s="8"/>
      <c r="H10" s="8"/>
      <c r="I10" s="8"/>
    </row>
    <row r="11" spans="1:22">
      <c r="F11" s="8"/>
      <c r="G11" s="8"/>
      <c r="H11" s="8"/>
      <c r="I11" s="8"/>
    </row>
    <row r="12" spans="1:22">
      <c r="F12" s="8"/>
      <c r="G12" s="8"/>
      <c r="H12" s="8"/>
      <c r="I12" s="8"/>
    </row>
    <row r="13" spans="1:22">
      <c r="F13" s="8"/>
      <c r="G13" s="8"/>
      <c r="H13" s="8"/>
      <c r="I13" s="8"/>
    </row>
    <row r="14" spans="1:22">
      <c r="F14" s="8"/>
      <c r="G14" s="8"/>
      <c r="H14" s="8"/>
      <c r="I14" s="8"/>
    </row>
    <row r="15" spans="1:22">
      <c r="G15" s="8"/>
      <c r="H15" s="8"/>
      <c r="I15" s="8"/>
    </row>
  </sheetData>
  <phoneticPr fontId="5"/>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C5F33A-E33E-455C-999C-50A8FB70923B}">
  <sheetPr codeName="Sheet3"/>
  <dimension ref="A1:BH124"/>
  <sheetViews>
    <sheetView topLeftCell="E1" workbookViewId="0">
      <pane ySplit="1" topLeftCell="A2" activePane="bottomLeft" state="frozen"/>
      <selection pane="bottomLeft" activeCell="W2" sqref="W2"/>
    </sheetView>
  </sheetViews>
  <sheetFormatPr defaultColWidth="9" defaultRowHeight="18.75"/>
  <cols>
    <col min="1" max="2" width="9" style="2"/>
    <col min="3" max="3" width="2" style="34" customWidth="1"/>
    <col min="4" max="5" width="10.875" style="2" customWidth="1"/>
    <col min="6" max="6" width="22.375" style="2" customWidth="1"/>
    <col min="7" max="7" width="20" style="2" customWidth="1"/>
    <col min="8" max="8" width="1.625" style="34" customWidth="1"/>
    <col min="9" max="9" width="9.5" style="2" customWidth="1"/>
    <col min="10" max="10" width="1.625" style="34" customWidth="1"/>
    <col min="11" max="11" width="9.5" style="2" customWidth="1"/>
    <col min="12" max="12" width="1.625" style="34" customWidth="1"/>
    <col min="13" max="13" width="9.5" style="2" customWidth="1"/>
    <col min="14" max="14" width="1.625" style="34" customWidth="1"/>
    <col min="15" max="15" width="9.5" style="2" customWidth="1"/>
    <col min="16" max="16" width="1.625" style="34" customWidth="1"/>
    <col min="17" max="17" width="9.5" style="2" customWidth="1"/>
    <col min="18" max="18" width="1.625" style="34" customWidth="1"/>
    <col min="19" max="19" width="9.5" style="2" customWidth="1"/>
    <col min="20" max="20" width="1.625" style="34" customWidth="1"/>
    <col min="21" max="21" width="9.5" style="2" customWidth="1"/>
    <col min="22" max="22" width="1.625" style="34" customWidth="1"/>
    <col min="23" max="23" width="9.5" style="2" customWidth="1"/>
    <col min="24" max="24" width="1.625" style="34" customWidth="1"/>
    <col min="25" max="25" width="9" style="2"/>
    <col min="26" max="26" width="1.625" style="34" customWidth="1"/>
    <col min="27" max="28" width="9" style="2"/>
    <col min="29" max="29" width="2.125" style="34" customWidth="1"/>
    <col min="30" max="40" width="3.375" style="2" hidden="1" customWidth="1"/>
    <col min="41" max="41" width="11.5" style="2" customWidth="1"/>
    <col min="42" max="42" width="9" style="2"/>
    <col min="43" max="43" width="2.125" style="34" customWidth="1"/>
    <col min="44" max="46" width="9" style="2"/>
    <col min="47" max="47" width="2.75" style="2" customWidth="1"/>
    <col min="48" max="48" width="18.875" style="2" customWidth="1"/>
    <col min="49" max="49" width="2.75" style="2" customWidth="1"/>
    <col min="50" max="51" width="8" style="2" customWidth="1"/>
    <col min="52" max="52" width="2.75" style="2" customWidth="1"/>
    <col min="53" max="16384" width="9" style="2"/>
  </cols>
  <sheetData>
    <row r="1" spans="1:60" ht="37.5">
      <c r="A1" s="33" t="s">
        <v>108</v>
      </c>
      <c r="B1" s="33" t="s">
        <v>114</v>
      </c>
      <c r="C1" s="162" t="s">
        <v>1579</v>
      </c>
      <c r="D1" s="33" t="s">
        <v>113</v>
      </c>
      <c r="E1" s="33" t="s">
        <v>115</v>
      </c>
      <c r="F1" s="33" t="s">
        <v>5</v>
      </c>
      <c r="G1" s="33" t="s">
        <v>6</v>
      </c>
      <c r="I1" s="33" t="s">
        <v>247</v>
      </c>
      <c r="K1" s="33" t="s">
        <v>34</v>
      </c>
      <c r="M1" s="33" t="s">
        <v>246</v>
      </c>
      <c r="O1" s="33" t="s">
        <v>35</v>
      </c>
      <c r="Q1" s="33" t="s">
        <v>76</v>
      </c>
      <c r="S1" s="33" t="s">
        <v>77</v>
      </c>
      <c r="U1" s="33" t="s">
        <v>78</v>
      </c>
      <c r="W1" s="33" t="s">
        <v>79</v>
      </c>
      <c r="Y1" s="33" t="s">
        <v>2</v>
      </c>
      <c r="AA1" s="33" t="s">
        <v>4</v>
      </c>
      <c r="AB1" s="33" t="s">
        <v>87</v>
      </c>
      <c r="AD1" s="34"/>
      <c r="AE1" s="34"/>
      <c r="AF1" s="34"/>
      <c r="AG1" s="34"/>
      <c r="AH1" s="34"/>
      <c r="AI1" s="34"/>
      <c r="AJ1" s="34"/>
      <c r="AK1" s="34"/>
      <c r="AL1" s="34"/>
      <c r="AM1" s="34"/>
      <c r="AN1" s="34"/>
      <c r="AO1" s="47" t="s">
        <v>4</v>
      </c>
      <c r="AP1" s="47" t="s">
        <v>211</v>
      </c>
      <c r="AQ1" s="47"/>
      <c r="AR1" s="48" t="s">
        <v>4</v>
      </c>
      <c r="AS1" s="48" t="s">
        <v>0</v>
      </c>
      <c r="AT1" s="48" t="s">
        <v>212</v>
      </c>
      <c r="AU1" s="34"/>
      <c r="AV1" s="34" t="s">
        <v>219</v>
      </c>
      <c r="AW1" s="34"/>
      <c r="AX1" s="124" t="s">
        <v>353</v>
      </c>
      <c r="AY1" s="34" t="s">
        <v>352</v>
      </c>
      <c r="AZ1" s="34"/>
      <c r="BA1" s="2" t="s">
        <v>213</v>
      </c>
      <c r="BB1" s="36" t="s">
        <v>365</v>
      </c>
      <c r="BC1" s="36" t="s">
        <v>380</v>
      </c>
    </row>
    <row r="2" spans="1:60" ht="131.25">
      <c r="A2" s="35" t="s">
        <v>104</v>
      </c>
      <c r="B2" s="35" t="s">
        <v>109</v>
      </c>
      <c r="D2" s="35" t="s">
        <v>109</v>
      </c>
      <c r="E2" s="35" t="s">
        <v>103</v>
      </c>
      <c r="F2" s="58" t="s">
        <v>220</v>
      </c>
      <c r="G2" s="59" t="s">
        <v>7</v>
      </c>
      <c r="I2" s="35" t="s">
        <v>223</v>
      </c>
      <c r="K2" s="35" t="s">
        <v>32</v>
      </c>
      <c r="M2" s="35" t="s">
        <v>311</v>
      </c>
      <c r="O2" s="35" t="s">
        <v>508</v>
      </c>
      <c r="Q2" s="35" t="s">
        <v>81</v>
      </c>
      <c r="S2" s="35" t="s">
        <v>82</v>
      </c>
      <c r="U2" s="35" t="s">
        <v>84</v>
      </c>
      <c r="W2" s="35" t="s">
        <v>556</v>
      </c>
      <c r="Y2" s="35" t="s">
        <v>255</v>
      </c>
      <c r="AA2" s="52" t="s">
        <v>119</v>
      </c>
      <c r="AB2" s="35" t="s">
        <v>88</v>
      </c>
      <c r="AD2" s="34"/>
      <c r="AE2" s="34"/>
      <c r="AF2" s="34"/>
      <c r="AG2" s="34"/>
      <c r="AH2" s="34"/>
      <c r="AI2" s="34"/>
      <c r="AJ2" s="34"/>
      <c r="AK2" s="34"/>
      <c r="AL2" s="34"/>
      <c r="AM2" s="34"/>
      <c r="AN2" s="34"/>
      <c r="AO2" s="50" t="s">
        <v>116</v>
      </c>
      <c r="AP2" s="50" t="s">
        <v>103</v>
      </c>
      <c r="AQ2" s="124"/>
      <c r="AR2" s="49" t="s">
        <v>116</v>
      </c>
      <c r="AS2" s="50" t="s">
        <v>117</v>
      </c>
      <c r="AT2" s="50" t="s">
        <v>118</v>
      </c>
      <c r="AU2" s="34"/>
      <c r="AV2" s="60" t="s">
        <v>227</v>
      </c>
      <c r="AW2" s="34"/>
      <c r="AX2" s="53" t="s">
        <v>369</v>
      </c>
      <c r="AY2" s="53" t="s">
        <v>381</v>
      </c>
      <c r="AZ2" s="34"/>
      <c r="BA2" s="2" t="s">
        <v>213</v>
      </c>
      <c r="BC2" t="s">
        <v>315</v>
      </c>
      <c r="BD2" s="2" t="str">
        <f>SUBSTITUTE(SUBSTITUTE(BC2," ",""),"　","")</f>
        <v>岡部志郎</v>
      </c>
      <c r="BF2" s="53" t="s">
        <v>313</v>
      </c>
      <c r="BG2" s="2" t="str">
        <f>CONCATENATE(BF2,"部")</f>
        <v>営業部</v>
      </c>
      <c r="BH2" s="2" t="s">
        <v>379</v>
      </c>
    </row>
    <row r="3" spans="1:60" ht="112.5">
      <c r="A3" s="35" t="s">
        <v>249</v>
      </c>
      <c r="B3" s="35" t="s">
        <v>110</v>
      </c>
      <c r="D3" s="35" t="s">
        <v>110</v>
      </c>
      <c r="E3" s="35" t="s">
        <v>103</v>
      </c>
      <c r="F3" s="58" t="s">
        <v>520</v>
      </c>
      <c r="G3" s="59" t="s">
        <v>225</v>
      </c>
      <c r="I3" s="35" t="s">
        <v>224</v>
      </c>
      <c r="K3" s="35" t="s">
        <v>33</v>
      </c>
      <c r="M3" s="35" t="s">
        <v>252</v>
      </c>
      <c r="O3" s="123" t="s">
        <v>509</v>
      </c>
      <c r="Q3" s="35" t="s">
        <v>80</v>
      </c>
      <c r="S3" s="35" t="s">
        <v>83</v>
      </c>
      <c r="U3" s="35" t="s">
        <v>85</v>
      </c>
      <c r="W3" s="35" t="s">
        <v>573</v>
      </c>
      <c r="Y3" s="35" t="s">
        <v>256</v>
      </c>
      <c r="AA3" s="52" t="s">
        <v>116</v>
      </c>
      <c r="AB3" s="35" t="s">
        <v>89</v>
      </c>
      <c r="AD3" s="34"/>
      <c r="AE3" s="34"/>
      <c r="AF3" s="34"/>
      <c r="AG3" s="34"/>
      <c r="AH3" s="34"/>
      <c r="AI3" s="34"/>
      <c r="AJ3" s="34"/>
      <c r="AK3" s="34"/>
      <c r="AL3" s="34"/>
      <c r="AM3" s="34"/>
      <c r="AN3" s="34"/>
      <c r="AO3" s="52" t="s">
        <v>119</v>
      </c>
      <c r="AP3" s="52" t="s">
        <v>103</v>
      </c>
      <c r="AQ3" s="124"/>
      <c r="AR3" s="51" t="s">
        <v>116</v>
      </c>
      <c r="AS3" s="52" t="s">
        <v>120</v>
      </c>
      <c r="AT3" s="52" t="s">
        <v>121</v>
      </c>
      <c r="AU3" s="34"/>
      <c r="AV3" s="36"/>
      <c r="AW3" s="34"/>
      <c r="AX3" s="53" t="s">
        <v>357</v>
      </c>
      <c r="AY3" s="53" t="s">
        <v>379</v>
      </c>
      <c r="AZ3" s="34"/>
      <c r="BA3" s="2" t="s">
        <v>213</v>
      </c>
      <c r="BC3" t="s">
        <v>317</v>
      </c>
      <c r="BD3" s="2" t="str">
        <f t="shared" ref="BD3:BD37" si="0">SUBSTITUTE(SUBSTITUTE(BC3," ",""),"　","")</f>
        <v>下野正博</v>
      </c>
      <c r="BF3" s="53" t="s">
        <v>313</v>
      </c>
      <c r="BG3" s="2" t="str">
        <f t="shared" ref="BG3:BG37" si="1">CONCATENATE(BF3,"部")</f>
        <v>営業部</v>
      </c>
      <c r="BH3" s="2" t="s">
        <v>379</v>
      </c>
    </row>
    <row r="4" spans="1:60" ht="131.25">
      <c r="A4" s="35" t="s">
        <v>1189</v>
      </c>
      <c r="B4" s="35" t="s">
        <v>111</v>
      </c>
      <c r="D4" s="35" t="s">
        <v>111</v>
      </c>
      <c r="E4" s="35" t="s">
        <v>103</v>
      </c>
      <c r="F4" s="58" t="s">
        <v>222</v>
      </c>
      <c r="G4" s="59" t="s">
        <v>498</v>
      </c>
      <c r="I4" s="35"/>
      <c r="K4" s="35"/>
      <c r="M4" s="35" t="s">
        <v>253</v>
      </c>
      <c r="O4" s="35" t="s">
        <v>510</v>
      </c>
      <c r="Q4" s="35"/>
      <c r="S4" s="35" t="s">
        <v>250</v>
      </c>
      <c r="U4" s="35" t="s">
        <v>250</v>
      </c>
      <c r="W4" s="35" t="s">
        <v>554</v>
      </c>
      <c r="Y4" s="35" t="s">
        <v>257</v>
      </c>
      <c r="AA4" s="52" t="s">
        <v>119</v>
      </c>
      <c r="AB4" s="35" t="s">
        <v>601</v>
      </c>
      <c r="AD4" s="34"/>
      <c r="AE4" s="34"/>
      <c r="AF4" s="34"/>
      <c r="AG4" s="34"/>
      <c r="AH4" s="34"/>
      <c r="AI4" s="34"/>
      <c r="AJ4" s="34"/>
      <c r="AK4" s="34"/>
      <c r="AL4" s="34"/>
      <c r="AM4" s="34"/>
      <c r="AN4" s="34"/>
      <c r="AO4" s="52" t="s">
        <v>122</v>
      </c>
      <c r="AP4" s="52" t="s">
        <v>103</v>
      </c>
      <c r="AQ4" s="124"/>
      <c r="AR4" s="51" t="s">
        <v>116</v>
      </c>
      <c r="AS4" s="52" t="s">
        <v>123</v>
      </c>
      <c r="AT4" s="52" t="s">
        <v>124</v>
      </c>
      <c r="AU4" s="34"/>
      <c r="AV4" s="36"/>
      <c r="AW4" s="34"/>
      <c r="AX4" s="53" t="s">
        <v>359</v>
      </c>
      <c r="AY4" s="53" t="s">
        <v>379</v>
      </c>
      <c r="AZ4" s="34"/>
      <c r="BA4" s="2" t="s">
        <v>213</v>
      </c>
      <c r="BC4" t="s">
        <v>335</v>
      </c>
      <c r="BD4" s="2" t="str">
        <f>SUBSTITUTE(SUBSTITUTE(BC4," ",""),"　","")</f>
        <v>加藤英輝</v>
      </c>
      <c r="BF4" s="53" t="s">
        <v>334</v>
      </c>
      <c r="BG4" s="2" t="str">
        <f>CONCATENATE(BF4,"部")</f>
        <v>技術部</v>
      </c>
      <c r="BH4" s="2" t="s">
        <v>380</v>
      </c>
    </row>
    <row r="5" spans="1:60" ht="56.25">
      <c r="A5" s="35" t="s">
        <v>105</v>
      </c>
      <c r="B5" s="35" t="s">
        <v>112</v>
      </c>
      <c r="D5" s="35" t="s">
        <v>112</v>
      </c>
      <c r="E5" s="35" t="s">
        <v>103</v>
      </c>
      <c r="F5" s="58" t="s">
        <v>220</v>
      </c>
      <c r="G5" s="59" t="s">
        <v>7</v>
      </c>
      <c r="I5" s="36"/>
      <c r="K5" s="36"/>
      <c r="M5" s="35" t="s">
        <v>254</v>
      </c>
      <c r="O5" s="35" t="s">
        <v>511</v>
      </c>
      <c r="Q5" s="36"/>
      <c r="S5" s="36"/>
      <c r="U5" s="36"/>
      <c r="W5" s="35" t="s">
        <v>555</v>
      </c>
      <c r="Y5" s="36" t="s">
        <v>258</v>
      </c>
      <c r="AA5" s="52" t="s">
        <v>116</v>
      </c>
      <c r="AB5" s="35" t="s">
        <v>251</v>
      </c>
      <c r="AD5" s="34"/>
      <c r="AE5" s="34"/>
      <c r="AF5" s="34"/>
      <c r="AG5" s="34"/>
      <c r="AH5" s="34"/>
      <c r="AI5" s="34"/>
      <c r="AJ5" s="34"/>
      <c r="AK5" s="34"/>
      <c r="AL5" s="34"/>
      <c r="AM5" s="34"/>
      <c r="AN5" s="34"/>
      <c r="AO5" s="52" t="s">
        <v>125</v>
      </c>
      <c r="AP5" s="52" t="s">
        <v>103</v>
      </c>
      <c r="AQ5" s="124"/>
      <c r="AR5" s="51" t="s">
        <v>116</v>
      </c>
      <c r="AS5" s="52" t="s">
        <v>126</v>
      </c>
      <c r="AT5" s="52" t="s">
        <v>127</v>
      </c>
      <c r="AU5" s="34"/>
      <c r="AV5" s="36"/>
      <c r="AW5" s="34"/>
      <c r="AX5" s="53" t="s">
        <v>501</v>
      </c>
      <c r="AY5" s="53" t="s">
        <v>379</v>
      </c>
      <c r="AZ5" s="34"/>
      <c r="BA5" s="2" t="s">
        <v>213</v>
      </c>
      <c r="BC5" t="s">
        <v>319</v>
      </c>
      <c r="BD5" s="2" t="str">
        <f t="shared" si="0"/>
        <v>玉造亮子</v>
      </c>
      <c r="BF5" s="53" t="s">
        <v>313</v>
      </c>
      <c r="BG5" s="2" t="str">
        <f t="shared" si="1"/>
        <v>営業部</v>
      </c>
      <c r="BH5" s="2" t="s">
        <v>379</v>
      </c>
    </row>
    <row r="6" spans="1:60" ht="56.25">
      <c r="A6" s="36" t="s">
        <v>492</v>
      </c>
      <c r="B6" s="36" t="s">
        <v>491</v>
      </c>
      <c r="D6" s="35" t="s">
        <v>109</v>
      </c>
      <c r="E6" s="35" t="s">
        <v>106</v>
      </c>
      <c r="F6" s="58" t="s">
        <v>221</v>
      </c>
      <c r="G6" s="59" t="s">
        <v>7</v>
      </c>
      <c r="I6" s="36"/>
      <c r="K6" s="36"/>
      <c r="M6" s="36"/>
      <c r="O6" s="154" t="s">
        <v>575</v>
      </c>
      <c r="Q6" s="36"/>
      <c r="S6" s="36"/>
      <c r="U6" s="36"/>
      <c r="W6" s="36" t="s">
        <v>580</v>
      </c>
      <c r="Y6" s="36"/>
      <c r="AA6" s="52" t="s">
        <v>119</v>
      </c>
      <c r="AB6" s="35" t="s">
        <v>590</v>
      </c>
      <c r="AD6" s="34"/>
      <c r="AE6" s="34"/>
      <c r="AF6" s="34"/>
      <c r="AG6" s="34"/>
      <c r="AH6" s="34"/>
      <c r="AI6" s="34"/>
      <c r="AJ6" s="34"/>
      <c r="AK6" s="34"/>
      <c r="AL6" s="34"/>
      <c r="AM6" s="34"/>
      <c r="AN6" s="34"/>
      <c r="AO6" s="52" t="s">
        <v>128</v>
      </c>
      <c r="AP6" s="52" t="s">
        <v>103</v>
      </c>
      <c r="AQ6" s="124"/>
      <c r="AR6" s="51" t="s">
        <v>116</v>
      </c>
      <c r="AS6" s="52" t="s">
        <v>129</v>
      </c>
      <c r="AT6" s="52" t="s">
        <v>130</v>
      </c>
      <c r="AU6" s="34"/>
      <c r="AV6" s="36"/>
      <c r="AW6" s="34"/>
      <c r="AX6" s="53" t="s">
        <v>502</v>
      </c>
      <c r="AY6" s="53" t="s">
        <v>382</v>
      </c>
      <c r="AZ6" s="34"/>
      <c r="BA6" s="2" t="s">
        <v>213</v>
      </c>
      <c r="BC6" t="s">
        <v>327</v>
      </c>
      <c r="BD6" s="2" t="str">
        <f t="shared" si="0"/>
        <v>松葉歩美</v>
      </c>
      <c r="BF6" s="53" t="s">
        <v>313</v>
      </c>
      <c r="BG6" s="2" t="str">
        <f t="shared" si="1"/>
        <v>営業部</v>
      </c>
      <c r="BH6" s="2" t="s">
        <v>379</v>
      </c>
    </row>
    <row r="7" spans="1:60" ht="75">
      <c r="A7" s="36" t="s">
        <v>522</v>
      </c>
      <c r="B7" s="36" t="s">
        <v>521</v>
      </c>
      <c r="D7" s="35" t="s">
        <v>110</v>
      </c>
      <c r="E7" s="35" t="s">
        <v>106</v>
      </c>
      <c r="F7" s="58" t="s">
        <v>222</v>
      </c>
      <c r="G7" s="58" t="s">
        <v>226</v>
      </c>
      <c r="I7" s="36"/>
      <c r="K7" s="36"/>
      <c r="M7" s="36"/>
      <c r="O7" s="36" t="s">
        <v>514</v>
      </c>
      <c r="Q7" s="36"/>
      <c r="S7" s="36"/>
      <c r="U7" s="36"/>
      <c r="W7" s="36"/>
      <c r="Y7" s="36"/>
      <c r="AA7" s="52" t="s">
        <v>119</v>
      </c>
      <c r="AB7" s="35" t="s">
        <v>602</v>
      </c>
      <c r="AD7" s="34"/>
      <c r="AE7" s="34"/>
      <c r="AF7" s="34"/>
      <c r="AG7" s="34"/>
      <c r="AH7" s="34"/>
      <c r="AI7" s="34"/>
      <c r="AJ7" s="34"/>
      <c r="AK7" s="34"/>
      <c r="AL7" s="34"/>
      <c r="AM7" s="34"/>
      <c r="AN7" s="34"/>
      <c r="AO7" s="52" t="s">
        <v>131</v>
      </c>
      <c r="AP7" s="52" t="s">
        <v>106</v>
      </c>
      <c r="AQ7" s="124"/>
      <c r="AR7" s="51" t="s">
        <v>116</v>
      </c>
      <c r="AS7" s="52" t="s">
        <v>132</v>
      </c>
      <c r="AT7" s="52" t="s">
        <v>133</v>
      </c>
      <c r="AU7" s="34"/>
      <c r="AV7" s="36"/>
      <c r="AW7" s="34"/>
      <c r="AX7" s="53" t="s">
        <v>376</v>
      </c>
      <c r="AY7" s="53" t="s">
        <v>379</v>
      </c>
      <c r="AZ7" s="34"/>
      <c r="BA7" s="2" t="s">
        <v>213</v>
      </c>
      <c r="BC7" t="s">
        <v>312</v>
      </c>
      <c r="BD7" s="2" t="str">
        <f t="shared" si="0"/>
        <v>上田哲矢</v>
      </c>
      <c r="BF7" s="53" t="s">
        <v>313</v>
      </c>
      <c r="BG7" s="2" t="str">
        <f t="shared" si="1"/>
        <v>営業部</v>
      </c>
      <c r="BH7" s="2" t="s">
        <v>379</v>
      </c>
    </row>
    <row r="8" spans="1:60" ht="75">
      <c r="A8" s="36"/>
      <c r="B8" s="36"/>
      <c r="D8" s="35" t="s">
        <v>111</v>
      </c>
      <c r="E8" s="35" t="s">
        <v>106</v>
      </c>
      <c r="F8" s="58" t="s">
        <v>222</v>
      </c>
      <c r="G8" s="58" t="s">
        <v>226</v>
      </c>
      <c r="I8" s="36"/>
      <c r="K8" s="36"/>
      <c r="M8" s="36"/>
      <c r="O8" s="35" t="s">
        <v>512</v>
      </c>
      <c r="Q8" s="153"/>
      <c r="S8" s="36"/>
      <c r="U8" s="36"/>
      <c r="W8" s="36"/>
      <c r="Y8" s="36"/>
      <c r="AA8" s="36" t="s">
        <v>1172</v>
      </c>
      <c r="AB8" s="36" t="s">
        <v>1173</v>
      </c>
      <c r="AD8" s="34"/>
      <c r="AE8" s="34"/>
      <c r="AF8" s="34"/>
      <c r="AG8" s="34"/>
      <c r="AH8" s="34"/>
      <c r="AI8" s="34"/>
      <c r="AJ8" s="34"/>
      <c r="AK8" s="34"/>
      <c r="AL8" s="34"/>
      <c r="AM8" s="34"/>
      <c r="AN8" s="34"/>
      <c r="AO8" s="52" t="s">
        <v>134</v>
      </c>
      <c r="AP8" s="52" t="s">
        <v>107</v>
      </c>
      <c r="AQ8" s="124"/>
      <c r="AR8" s="51" t="s">
        <v>116</v>
      </c>
      <c r="AS8" s="52" t="s">
        <v>135</v>
      </c>
      <c r="AT8" s="52" t="s">
        <v>136</v>
      </c>
      <c r="AU8" s="34"/>
      <c r="AV8" s="36"/>
      <c r="AW8" s="34"/>
      <c r="AX8" s="53" t="s">
        <v>354</v>
      </c>
      <c r="AY8" s="53" t="s">
        <v>379</v>
      </c>
      <c r="AZ8" s="34"/>
      <c r="BA8" s="2" t="s">
        <v>213</v>
      </c>
      <c r="BC8" t="s">
        <v>318</v>
      </c>
      <c r="BD8" s="2" t="str">
        <f t="shared" si="0"/>
        <v>瀬川晃一</v>
      </c>
      <c r="BF8" s="53" t="s">
        <v>313</v>
      </c>
      <c r="BG8" s="2" t="str">
        <f t="shared" si="1"/>
        <v>営業部</v>
      </c>
      <c r="BH8" s="2" t="s">
        <v>379</v>
      </c>
    </row>
    <row r="9" spans="1:60" ht="56.25">
      <c r="A9" s="36"/>
      <c r="B9" s="36"/>
      <c r="D9" s="35" t="s">
        <v>112</v>
      </c>
      <c r="E9" s="35" t="s">
        <v>106</v>
      </c>
      <c r="F9" s="58" t="s">
        <v>221</v>
      </c>
      <c r="G9" s="59" t="s">
        <v>7</v>
      </c>
      <c r="I9" s="36"/>
      <c r="K9" s="36"/>
      <c r="M9" s="36"/>
      <c r="O9" s="36" t="s">
        <v>513</v>
      </c>
      <c r="Q9" s="36"/>
      <c r="S9" s="36"/>
      <c r="U9" s="36"/>
      <c r="W9" s="36"/>
      <c r="Y9" s="36"/>
      <c r="AA9" s="36"/>
      <c r="AB9" s="36"/>
      <c r="AD9" s="34"/>
      <c r="AE9" s="34"/>
      <c r="AF9" s="34"/>
      <c r="AG9" s="34"/>
      <c r="AH9" s="34"/>
      <c r="AI9" s="34"/>
      <c r="AJ9" s="34"/>
      <c r="AK9" s="34"/>
      <c r="AL9" s="34"/>
      <c r="AM9" s="34"/>
      <c r="AN9" s="34"/>
      <c r="AO9" s="53"/>
      <c r="AP9" s="53"/>
      <c r="AQ9" s="124"/>
      <c r="AR9" s="52" t="s">
        <v>116</v>
      </c>
      <c r="AS9" s="52" t="s">
        <v>137</v>
      </c>
      <c r="AT9" s="52" t="s">
        <v>138</v>
      </c>
      <c r="AU9" s="34"/>
      <c r="AV9" s="36"/>
      <c r="AW9" s="34"/>
      <c r="AX9" s="53" t="s">
        <v>377</v>
      </c>
      <c r="AY9" s="53" t="s">
        <v>379</v>
      </c>
      <c r="AZ9" s="34"/>
      <c r="BA9" s="2" t="s">
        <v>213</v>
      </c>
      <c r="BC9" t="s">
        <v>314</v>
      </c>
      <c r="BD9" s="2" t="str">
        <f t="shared" si="0"/>
        <v>大井拓磨</v>
      </c>
      <c r="BF9" s="53" t="s">
        <v>313</v>
      </c>
      <c r="BG9" s="2" t="str">
        <f t="shared" si="1"/>
        <v>営業部</v>
      </c>
      <c r="BH9" s="2" t="s">
        <v>379</v>
      </c>
    </row>
    <row r="10" spans="1:60" ht="37.5">
      <c r="A10" s="36"/>
      <c r="B10" s="36"/>
      <c r="D10" s="35" t="s">
        <v>109</v>
      </c>
      <c r="E10" s="35" t="s">
        <v>107</v>
      </c>
      <c r="F10" s="58" t="s">
        <v>221</v>
      </c>
      <c r="G10" s="59" t="s">
        <v>7</v>
      </c>
      <c r="I10" s="36"/>
      <c r="K10" s="36"/>
      <c r="M10" s="36"/>
      <c r="O10" s="154" t="s">
        <v>574</v>
      </c>
      <c r="Q10" s="36"/>
      <c r="S10" s="36"/>
      <c r="U10" s="36"/>
      <c r="W10" s="36"/>
      <c r="Y10" s="36"/>
      <c r="AA10" s="36"/>
      <c r="AB10" s="36"/>
      <c r="AD10" s="34"/>
      <c r="AE10" s="34"/>
      <c r="AF10" s="34"/>
      <c r="AG10" s="34"/>
      <c r="AH10" s="34"/>
      <c r="AI10" s="34"/>
      <c r="AJ10" s="34"/>
      <c r="AK10" s="34"/>
      <c r="AL10" s="34"/>
      <c r="AM10" s="34"/>
      <c r="AN10" s="34"/>
      <c r="AO10" s="53"/>
      <c r="AP10" s="53"/>
      <c r="AQ10" s="124"/>
      <c r="AR10" s="52" t="s">
        <v>116</v>
      </c>
      <c r="AS10" s="52" t="s">
        <v>139</v>
      </c>
      <c r="AT10" s="52" t="s">
        <v>140</v>
      </c>
      <c r="AU10" s="34"/>
      <c r="AV10" s="36"/>
      <c r="AW10" s="34"/>
      <c r="AX10" s="53" t="s">
        <v>577</v>
      </c>
      <c r="AY10" s="53" t="s">
        <v>578</v>
      </c>
      <c r="AZ10" s="34"/>
      <c r="BA10" s="2" t="s">
        <v>213</v>
      </c>
      <c r="BC10" t="s">
        <v>321</v>
      </c>
      <c r="BD10" s="2" t="str">
        <f t="shared" si="0"/>
        <v>中野温美</v>
      </c>
      <c r="BF10" s="53" t="s">
        <v>313</v>
      </c>
      <c r="BG10" s="2" t="str">
        <f t="shared" si="1"/>
        <v>営業部</v>
      </c>
      <c r="BH10" s="2" t="s">
        <v>379</v>
      </c>
    </row>
    <row r="11" spans="1:60" ht="75">
      <c r="A11" s="36"/>
      <c r="B11" s="36"/>
      <c r="D11" s="35" t="s">
        <v>110</v>
      </c>
      <c r="E11" s="35" t="s">
        <v>107</v>
      </c>
      <c r="F11" s="58" t="s">
        <v>222</v>
      </c>
      <c r="G11" s="58" t="s">
        <v>226</v>
      </c>
      <c r="I11" s="36"/>
      <c r="K11" s="36"/>
      <c r="M11" s="36"/>
      <c r="O11" s="36"/>
      <c r="Q11" s="36"/>
      <c r="S11" s="36"/>
      <c r="U11" s="36"/>
      <c r="W11" s="55" t="s">
        <v>551</v>
      </c>
      <c r="Y11" s="36"/>
      <c r="AA11" s="36"/>
      <c r="AB11" s="36"/>
      <c r="AD11" s="34"/>
      <c r="AE11" s="34"/>
      <c r="AF11" s="34"/>
      <c r="AG11" s="34"/>
      <c r="AH11" s="34"/>
      <c r="AI11" s="34"/>
      <c r="AJ11" s="34"/>
      <c r="AK11" s="34"/>
      <c r="AL11" s="34"/>
      <c r="AM11" s="34"/>
      <c r="AN11" s="34"/>
      <c r="AO11" s="53"/>
      <c r="AP11" s="53"/>
      <c r="AQ11" s="124"/>
      <c r="AR11" s="52" t="s">
        <v>119</v>
      </c>
      <c r="AS11" s="52" t="s">
        <v>141</v>
      </c>
      <c r="AT11" s="52" t="s">
        <v>142</v>
      </c>
      <c r="AU11" s="34"/>
      <c r="AV11" s="36"/>
      <c r="AW11" s="34"/>
      <c r="AX11" s="53" t="s">
        <v>579</v>
      </c>
      <c r="AY11" s="53" t="s">
        <v>576</v>
      </c>
      <c r="AZ11" s="34"/>
      <c r="BA11" s="2" t="s">
        <v>213</v>
      </c>
      <c r="BC11" t="s">
        <v>322</v>
      </c>
      <c r="BD11" s="2" t="str">
        <f t="shared" si="0"/>
        <v>仲村卓郎</v>
      </c>
      <c r="BF11" s="53" t="s">
        <v>313</v>
      </c>
      <c r="BG11" s="2" t="str">
        <f t="shared" si="1"/>
        <v>営業部</v>
      </c>
      <c r="BH11" s="2" t="s">
        <v>379</v>
      </c>
    </row>
    <row r="12" spans="1:60" ht="75">
      <c r="A12" s="36"/>
      <c r="B12" s="36"/>
      <c r="D12" s="35" t="s">
        <v>111</v>
      </c>
      <c r="E12" s="35" t="s">
        <v>107</v>
      </c>
      <c r="F12" s="58" t="s">
        <v>222</v>
      </c>
      <c r="G12" s="58" t="s">
        <v>226</v>
      </c>
      <c r="I12" s="36"/>
      <c r="K12" s="36"/>
      <c r="M12" s="36"/>
      <c r="O12" s="36"/>
      <c r="Q12" s="36"/>
      <c r="S12" s="36"/>
      <c r="U12" s="36"/>
      <c r="W12" s="36" t="s">
        <v>552</v>
      </c>
      <c r="Y12" s="36"/>
      <c r="AA12" s="36"/>
      <c r="AB12" s="36"/>
      <c r="AD12" s="34"/>
      <c r="AE12" s="34"/>
      <c r="AF12" s="34"/>
      <c r="AG12" s="34"/>
      <c r="AH12" s="34"/>
      <c r="AI12" s="34"/>
      <c r="AJ12" s="34"/>
      <c r="AK12" s="34"/>
      <c r="AL12" s="34"/>
      <c r="AM12" s="34"/>
      <c r="AN12" s="34"/>
      <c r="AO12" s="53"/>
      <c r="AP12" s="53"/>
      <c r="AQ12" s="124"/>
      <c r="AR12" s="52" t="s">
        <v>119</v>
      </c>
      <c r="AS12" s="52" t="s">
        <v>143</v>
      </c>
      <c r="AT12" s="52" t="s">
        <v>144</v>
      </c>
      <c r="AU12" s="34"/>
      <c r="AV12" s="36"/>
      <c r="AW12" s="34"/>
      <c r="AX12" s="53" t="s">
        <v>503</v>
      </c>
      <c r="AY12" s="53" t="s">
        <v>380</v>
      </c>
      <c r="AZ12" s="34"/>
      <c r="BA12" s="2" t="s">
        <v>213</v>
      </c>
      <c r="BC12" t="s">
        <v>320</v>
      </c>
      <c r="BD12" s="2" t="str">
        <f t="shared" si="0"/>
        <v>土井哲也</v>
      </c>
      <c r="BF12" s="53" t="s">
        <v>313</v>
      </c>
      <c r="BG12" s="2" t="str">
        <f t="shared" si="1"/>
        <v>営業部</v>
      </c>
      <c r="BH12" s="2" t="s">
        <v>379</v>
      </c>
    </row>
    <row r="13" spans="1:60" ht="37.5">
      <c r="A13" s="36"/>
      <c r="B13" s="36"/>
      <c r="D13" s="35" t="s">
        <v>112</v>
      </c>
      <c r="E13" s="35" t="s">
        <v>107</v>
      </c>
      <c r="F13" s="58" t="s">
        <v>221</v>
      </c>
      <c r="G13" s="59" t="s">
        <v>7</v>
      </c>
      <c r="I13" s="36"/>
      <c r="K13" s="36"/>
      <c r="M13" s="36"/>
      <c r="O13" s="36"/>
      <c r="Q13" s="36"/>
      <c r="S13" s="36"/>
      <c r="U13" s="36"/>
      <c r="W13" s="36" t="s">
        <v>553</v>
      </c>
      <c r="Y13" s="36"/>
      <c r="AA13" s="36"/>
      <c r="AB13" s="36"/>
      <c r="AD13" s="34"/>
      <c r="AE13" s="34"/>
      <c r="AF13" s="34"/>
      <c r="AG13" s="34"/>
      <c r="AH13" s="34"/>
      <c r="AI13" s="34"/>
      <c r="AJ13" s="34"/>
      <c r="AK13" s="34"/>
      <c r="AL13" s="34"/>
      <c r="AM13" s="34"/>
      <c r="AN13" s="34"/>
      <c r="AO13" s="53"/>
      <c r="AP13" s="53"/>
      <c r="AQ13" s="124"/>
      <c r="AR13" s="52" t="s">
        <v>119</v>
      </c>
      <c r="AS13" s="52" t="s">
        <v>145</v>
      </c>
      <c r="AT13" s="52" t="s">
        <v>146</v>
      </c>
      <c r="AU13" s="34"/>
      <c r="AV13" s="36"/>
      <c r="AW13" s="34"/>
      <c r="AX13" s="53" t="s">
        <v>375</v>
      </c>
      <c r="AY13" s="53" t="s">
        <v>379</v>
      </c>
      <c r="AZ13" s="34"/>
      <c r="BA13" s="2" t="s">
        <v>213</v>
      </c>
      <c r="BC13" t="s">
        <v>325</v>
      </c>
      <c r="BD13" s="2" t="str">
        <f t="shared" si="0"/>
        <v>藤原崇寛</v>
      </c>
      <c r="BF13" s="53" t="s">
        <v>313</v>
      </c>
      <c r="BG13" s="2" t="str">
        <f t="shared" si="1"/>
        <v>営業部</v>
      </c>
      <c r="BH13" s="2" t="s">
        <v>379</v>
      </c>
    </row>
    <row r="14" spans="1:60" ht="75">
      <c r="A14" s="36"/>
      <c r="B14" s="36"/>
      <c r="D14" s="36" t="s">
        <v>491</v>
      </c>
      <c r="E14" s="36" t="s">
        <v>493</v>
      </c>
      <c r="F14" s="58" t="s">
        <v>496</v>
      </c>
      <c r="G14" s="58" t="s">
        <v>226</v>
      </c>
      <c r="I14" s="36"/>
      <c r="K14" s="36"/>
      <c r="M14" s="36"/>
      <c r="O14" s="36"/>
      <c r="Q14" s="36"/>
      <c r="S14" s="36"/>
      <c r="U14" s="36"/>
      <c r="W14" s="36"/>
      <c r="Y14" s="36"/>
      <c r="AA14" s="36"/>
      <c r="AB14" s="36"/>
      <c r="AD14" s="34"/>
      <c r="AE14" s="34"/>
      <c r="AF14" s="34"/>
      <c r="AG14" s="34"/>
      <c r="AH14" s="34"/>
      <c r="AI14" s="34"/>
      <c r="AJ14" s="34"/>
      <c r="AK14" s="34"/>
      <c r="AL14" s="34"/>
      <c r="AM14" s="34"/>
      <c r="AN14" s="34"/>
      <c r="AO14" s="53"/>
      <c r="AP14" s="53"/>
      <c r="AQ14" s="124"/>
      <c r="AR14" s="52" t="s">
        <v>119</v>
      </c>
      <c r="AS14" s="52" t="s">
        <v>147</v>
      </c>
      <c r="AT14" s="52" t="s">
        <v>148</v>
      </c>
      <c r="AU14" s="34"/>
      <c r="AV14" s="36"/>
      <c r="AW14" s="34"/>
      <c r="AX14" s="53" t="s">
        <v>372</v>
      </c>
      <c r="AY14" s="53" t="s">
        <v>382</v>
      </c>
      <c r="AZ14" s="34"/>
      <c r="BA14" s="2" t="s">
        <v>213</v>
      </c>
      <c r="BC14" t="s">
        <v>324</v>
      </c>
      <c r="BD14" s="2" t="str">
        <f t="shared" si="0"/>
        <v>福井淳一</v>
      </c>
      <c r="BF14" s="53" t="s">
        <v>313</v>
      </c>
      <c r="BG14" s="2" t="str">
        <f t="shared" si="1"/>
        <v>営業部</v>
      </c>
      <c r="BH14" s="2" t="s">
        <v>379</v>
      </c>
    </row>
    <row r="15" spans="1:60" ht="75">
      <c r="A15" s="36"/>
      <c r="B15" s="36"/>
      <c r="D15" s="36" t="s">
        <v>491</v>
      </c>
      <c r="E15" s="36" t="s">
        <v>494</v>
      </c>
      <c r="F15" s="58" t="s">
        <v>496</v>
      </c>
      <c r="G15" s="58" t="s">
        <v>226</v>
      </c>
      <c r="I15" s="36"/>
      <c r="K15" s="36"/>
      <c r="M15" s="36"/>
      <c r="O15" s="36"/>
      <c r="Q15" s="36"/>
      <c r="S15" s="36"/>
      <c r="U15" s="36"/>
      <c r="W15" s="36"/>
      <c r="Y15" s="36"/>
      <c r="AA15" s="36"/>
      <c r="AB15" s="36"/>
      <c r="AD15" s="34"/>
      <c r="AE15" s="34"/>
      <c r="AF15" s="34"/>
      <c r="AG15" s="34"/>
      <c r="AH15" s="34"/>
      <c r="AI15" s="34"/>
      <c r="AJ15" s="34"/>
      <c r="AK15" s="34"/>
      <c r="AL15" s="34"/>
      <c r="AM15" s="34"/>
      <c r="AN15" s="34"/>
      <c r="AO15" s="53"/>
      <c r="AP15" s="53"/>
      <c r="AQ15" s="124"/>
      <c r="AR15" s="52" t="s">
        <v>119</v>
      </c>
      <c r="AS15" s="52" t="s">
        <v>149</v>
      </c>
      <c r="AT15" s="52" t="s">
        <v>150</v>
      </c>
      <c r="AU15" s="34"/>
      <c r="AV15" s="36"/>
      <c r="AW15" s="34"/>
      <c r="AX15" s="53" t="s">
        <v>355</v>
      </c>
      <c r="AY15" s="53" t="s">
        <v>379</v>
      </c>
      <c r="AZ15" s="34"/>
      <c r="BA15" s="2" t="s">
        <v>213</v>
      </c>
      <c r="BC15" t="s">
        <v>323</v>
      </c>
      <c r="BD15" s="2" t="str">
        <f t="shared" si="0"/>
        <v>兵働隆</v>
      </c>
      <c r="BF15" s="53" t="s">
        <v>313</v>
      </c>
      <c r="BG15" s="2" t="str">
        <f t="shared" si="1"/>
        <v>営業部</v>
      </c>
      <c r="BH15" s="2" t="s">
        <v>379</v>
      </c>
    </row>
    <row r="16" spans="1:60" ht="75">
      <c r="A16" s="36"/>
      <c r="B16" s="36"/>
      <c r="D16" s="36" t="s">
        <v>491</v>
      </c>
      <c r="E16" s="36" t="s">
        <v>495</v>
      </c>
      <c r="F16" s="58" t="s">
        <v>496</v>
      </c>
      <c r="G16" s="58" t="s">
        <v>226</v>
      </c>
      <c r="I16" s="36"/>
      <c r="K16" s="36"/>
      <c r="M16" s="36"/>
      <c r="O16" s="36"/>
      <c r="Q16" s="36"/>
      <c r="S16" s="36"/>
      <c r="U16" s="36"/>
      <c r="W16" s="36"/>
      <c r="Y16" s="36"/>
      <c r="AA16" s="36"/>
      <c r="AB16" s="36"/>
      <c r="AD16" s="34"/>
      <c r="AE16" s="34"/>
      <c r="AF16" s="34"/>
      <c r="AG16" s="34"/>
      <c r="AH16" s="34"/>
      <c r="AI16" s="34"/>
      <c r="AJ16" s="34"/>
      <c r="AK16" s="34"/>
      <c r="AL16" s="34"/>
      <c r="AM16" s="34"/>
      <c r="AN16" s="34"/>
      <c r="AO16" s="53"/>
      <c r="AP16" s="53"/>
      <c r="AQ16" s="124"/>
      <c r="AR16" s="52" t="s">
        <v>119</v>
      </c>
      <c r="AS16" s="52" t="s">
        <v>151</v>
      </c>
      <c r="AT16" s="52" t="s">
        <v>152</v>
      </c>
      <c r="AU16" s="34"/>
      <c r="AV16" s="36"/>
      <c r="AW16" s="34"/>
      <c r="AX16" s="53" t="s">
        <v>373</v>
      </c>
      <c r="AY16" s="53" t="s">
        <v>382</v>
      </c>
      <c r="AZ16" s="34"/>
      <c r="BA16" s="2" t="s">
        <v>213</v>
      </c>
      <c r="BC16" t="s">
        <v>326</v>
      </c>
      <c r="BD16" s="2" t="str">
        <f t="shared" si="0"/>
        <v>堀田亜矢子</v>
      </c>
      <c r="BF16" s="53" t="s">
        <v>313</v>
      </c>
      <c r="BG16" s="2" t="str">
        <f t="shared" si="1"/>
        <v>営業部</v>
      </c>
      <c r="BH16" s="2" t="s">
        <v>379</v>
      </c>
    </row>
    <row r="17" spans="1:60" ht="150">
      <c r="A17" s="36"/>
      <c r="B17" s="36"/>
      <c r="D17" s="36" t="s">
        <v>521</v>
      </c>
      <c r="E17" s="36" t="s">
        <v>103</v>
      </c>
      <c r="F17" s="146" t="s">
        <v>523</v>
      </c>
      <c r="G17" s="147" t="s">
        <v>524</v>
      </c>
      <c r="I17" s="36"/>
      <c r="K17" s="36"/>
      <c r="M17" s="36"/>
      <c r="O17" s="36"/>
      <c r="Q17" s="36"/>
      <c r="S17" s="36"/>
      <c r="U17" s="36"/>
      <c r="W17" s="36"/>
      <c r="Y17" s="36"/>
      <c r="AA17" s="36"/>
      <c r="AB17" s="36"/>
      <c r="AD17" s="34"/>
      <c r="AE17" s="34"/>
      <c r="AF17" s="34"/>
      <c r="AG17" s="34"/>
      <c r="AH17" s="34"/>
      <c r="AI17" s="34"/>
      <c r="AJ17" s="34"/>
      <c r="AK17" s="34"/>
      <c r="AL17" s="34"/>
      <c r="AM17" s="34"/>
      <c r="AN17" s="34"/>
      <c r="AO17" s="53"/>
      <c r="AP17" s="53"/>
      <c r="AQ17" s="124"/>
      <c r="AR17" s="52" t="s">
        <v>122</v>
      </c>
      <c r="AS17" s="52" t="s">
        <v>153</v>
      </c>
      <c r="AT17" s="52" t="s">
        <v>154</v>
      </c>
      <c r="AU17" s="34"/>
      <c r="AV17" s="36"/>
      <c r="AW17" s="34"/>
      <c r="AX17" s="53" t="s">
        <v>504</v>
      </c>
      <c r="AY17" s="53" t="s">
        <v>379</v>
      </c>
      <c r="AZ17" s="34"/>
      <c r="BA17" s="2" t="s">
        <v>213</v>
      </c>
      <c r="BC17" t="s">
        <v>316</v>
      </c>
      <c r="BD17" s="2" t="str">
        <f>SUBSTITUTE(SUBSTITUTE(BC17," ",""),"　","")</f>
        <v>加藤祥</v>
      </c>
      <c r="BF17" s="53" t="s">
        <v>313</v>
      </c>
      <c r="BG17" s="2" t="str">
        <f>CONCATENATE(BF17,"部")</f>
        <v>営業部</v>
      </c>
      <c r="BH17" s="2" t="s">
        <v>379</v>
      </c>
    </row>
    <row r="18" spans="1:60" ht="150">
      <c r="A18" s="36"/>
      <c r="B18" s="36"/>
      <c r="D18" s="36" t="s">
        <v>521</v>
      </c>
      <c r="E18" s="36" t="s">
        <v>106</v>
      </c>
      <c r="F18" s="146" t="s">
        <v>523</v>
      </c>
      <c r="G18" s="147" t="s">
        <v>524</v>
      </c>
      <c r="I18" s="36"/>
      <c r="K18" s="36"/>
      <c r="M18" s="36"/>
      <c r="O18" s="36"/>
      <c r="Q18" s="36"/>
      <c r="S18" s="36"/>
      <c r="U18" s="36"/>
      <c r="W18" s="36"/>
      <c r="Y18" s="36"/>
      <c r="AA18" s="36"/>
      <c r="AB18" s="36"/>
      <c r="AD18" s="34"/>
      <c r="AE18" s="34"/>
      <c r="AF18" s="34"/>
      <c r="AG18" s="34"/>
      <c r="AH18" s="34"/>
      <c r="AI18" s="34"/>
      <c r="AJ18" s="34"/>
      <c r="AK18" s="34"/>
      <c r="AL18" s="34"/>
      <c r="AM18" s="34"/>
      <c r="AN18" s="34"/>
      <c r="AO18" s="53"/>
      <c r="AP18" s="53"/>
      <c r="AQ18" s="124"/>
      <c r="AR18" s="52" t="s">
        <v>122</v>
      </c>
      <c r="AS18" s="52" t="s">
        <v>155</v>
      </c>
      <c r="AT18" s="52" t="s">
        <v>156</v>
      </c>
      <c r="AU18" s="34"/>
      <c r="AV18" s="36"/>
      <c r="AW18" s="34"/>
      <c r="AX18" s="53" t="s">
        <v>358</v>
      </c>
      <c r="AY18" s="53" t="s">
        <v>379</v>
      </c>
      <c r="AZ18" s="34"/>
      <c r="BA18" s="2" t="s">
        <v>213</v>
      </c>
      <c r="BC18" t="s">
        <v>333</v>
      </c>
      <c r="BD18" s="2" t="str">
        <f t="shared" si="0"/>
        <v>岩脇健</v>
      </c>
      <c r="BF18" s="53" t="s">
        <v>334</v>
      </c>
      <c r="BG18" s="2" t="str">
        <f t="shared" si="1"/>
        <v>技術部</v>
      </c>
      <c r="BH18" s="2" t="s">
        <v>380</v>
      </c>
    </row>
    <row r="19" spans="1:60" ht="150">
      <c r="A19" s="36"/>
      <c r="B19" s="36"/>
      <c r="D19" s="36" t="s">
        <v>521</v>
      </c>
      <c r="E19" s="36" t="s">
        <v>107</v>
      </c>
      <c r="F19" s="146" t="s">
        <v>523</v>
      </c>
      <c r="G19" s="147" t="s">
        <v>524</v>
      </c>
      <c r="I19" s="36"/>
      <c r="K19" s="36"/>
      <c r="M19" s="36"/>
      <c r="O19" s="36"/>
      <c r="Q19" s="36"/>
      <c r="S19" s="36"/>
      <c r="U19" s="36"/>
      <c r="W19" s="36"/>
      <c r="Y19" s="36"/>
      <c r="AA19" s="36"/>
      <c r="AB19" s="36"/>
      <c r="AD19" s="34"/>
      <c r="AE19" s="34"/>
      <c r="AF19" s="34"/>
      <c r="AG19" s="34"/>
      <c r="AH19" s="34"/>
      <c r="AI19" s="34"/>
      <c r="AJ19" s="34"/>
      <c r="AK19" s="34"/>
      <c r="AL19" s="34"/>
      <c r="AM19" s="34"/>
      <c r="AN19" s="34"/>
      <c r="AO19" s="53"/>
      <c r="AP19" s="53"/>
      <c r="AQ19" s="124"/>
      <c r="AR19" s="52" t="s">
        <v>122</v>
      </c>
      <c r="AS19" s="52" t="s">
        <v>157</v>
      </c>
      <c r="AT19" s="52" t="s">
        <v>158</v>
      </c>
      <c r="AU19" s="34"/>
      <c r="AV19" s="36"/>
      <c r="AW19" s="34"/>
      <c r="AX19" s="53" t="s">
        <v>370</v>
      </c>
      <c r="AY19" s="53" t="s">
        <v>381</v>
      </c>
      <c r="AZ19" s="34"/>
      <c r="BA19" s="2" t="s">
        <v>213</v>
      </c>
      <c r="BC19" t="s">
        <v>339</v>
      </c>
      <c r="BD19" s="2" t="str">
        <f t="shared" si="0"/>
        <v>吉田勝</v>
      </c>
      <c r="BF19" s="53" t="s">
        <v>334</v>
      </c>
      <c r="BG19" s="2" t="str">
        <f t="shared" si="1"/>
        <v>技術部</v>
      </c>
      <c r="BH19" s="2" t="s">
        <v>380</v>
      </c>
    </row>
    <row r="20" spans="1:60">
      <c r="A20" s="36"/>
      <c r="B20" s="36"/>
      <c r="D20" s="36"/>
      <c r="E20" s="36"/>
      <c r="F20" s="36"/>
      <c r="G20" s="36"/>
      <c r="I20" s="36"/>
      <c r="K20" s="36"/>
      <c r="M20" s="36"/>
      <c r="O20" s="36"/>
      <c r="Q20" s="36"/>
      <c r="S20" s="36"/>
      <c r="U20" s="36"/>
      <c r="W20" s="36"/>
      <c r="Y20" s="36"/>
      <c r="AA20" s="36"/>
      <c r="AB20" s="36"/>
      <c r="AD20" s="34"/>
      <c r="AE20" s="34"/>
      <c r="AF20" s="34"/>
      <c r="AG20" s="34"/>
      <c r="AH20" s="34"/>
      <c r="AI20" s="34"/>
      <c r="AJ20" s="34"/>
      <c r="AK20" s="34"/>
      <c r="AL20" s="34"/>
      <c r="AM20" s="34"/>
      <c r="AN20" s="34"/>
      <c r="AO20" s="53"/>
      <c r="AP20" s="53"/>
      <c r="AQ20" s="124"/>
      <c r="AR20" s="52" t="s">
        <v>125</v>
      </c>
      <c r="AS20" s="52" t="s">
        <v>159</v>
      </c>
      <c r="AT20" s="52" t="s">
        <v>160</v>
      </c>
      <c r="AU20" s="34"/>
      <c r="AV20" s="36"/>
      <c r="AW20" s="34"/>
      <c r="AX20" s="53" t="s">
        <v>499</v>
      </c>
      <c r="AY20" s="53" t="s">
        <v>381</v>
      </c>
      <c r="AZ20" s="34"/>
      <c r="BA20" s="2" t="s">
        <v>213</v>
      </c>
      <c r="BC20" t="s">
        <v>338</v>
      </c>
      <c r="BD20" s="2" t="str">
        <f t="shared" si="0"/>
        <v>山下悠司</v>
      </c>
      <c r="BF20" s="53" t="s">
        <v>334</v>
      </c>
      <c r="BG20" s="2" t="str">
        <f t="shared" si="1"/>
        <v>技術部</v>
      </c>
      <c r="BH20" s="2" t="s">
        <v>380</v>
      </c>
    </row>
    <row r="21" spans="1:60">
      <c r="A21" s="55"/>
      <c r="B21" s="55"/>
      <c r="D21" s="55"/>
      <c r="E21" s="55"/>
      <c r="F21" s="55"/>
      <c r="G21" s="55"/>
      <c r="I21" s="55"/>
      <c r="K21" s="55"/>
      <c r="M21" s="55"/>
      <c r="O21" s="55"/>
      <c r="Q21" s="55"/>
      <c r="S21" s="55"/>
      <c r="U21" s="55"/>
      <c r="W21" s="55"/>
      <c r="Y21" s="55"/>
      <c r="AA21" s="55"/>
      <c r="AB21" s="55"/>
      <c r="AD21" s="34"/>
      <c r="AE21" s="34"/>
      <c r="AF21" s="34"/>
      <c r="AG21" s="34"/>
      <c r="AH21" s="34"/>
      <c r="AI21" s="34"/>
      <c r="AJ21" s="34"/>
      <c r="AK21" s="34"/>
      <c r="AL21" s="34"/>
      <c r="AM21" s="34"/>
      <c r="AN21" s="34"/>
      <c r="AO21" s="54"/>
      <c r="AP21" s="54"/>
      <c r="AQ21" s="124"/>
      <c r="AR21" s="52" t="s">
        <v>125</v>
      </c>
      <c r="AS21" s="52" t="s">
        <v>161</v>
      </c>
      <c r="AT21" s="52" t="s">
        <v>162</v>
      </c>
      <c r="AU21" s="34"/>
      <c r="AV21" s="36"/>
      <c r="AW21" s="34"/>
      <c r="AX21" s="53" t="s">
        <v>356</v>
      </c>
      <c r="AY21" s="53" t="s">
        <v>379</v>
      </c>
      <c r="AZ21" s="34"/>
      <c r="BA21" s="2" t="s">
        <v>213</v>
      </c>
      <c r="BC21" t="s">
        <v>337</v>
      </c>
      <c r="BD21" s="2" t="str">
        <f t="shared" si="0"/>
        <v>松谷誠</v>
      </c>
      <c r="BF21" s="53" t="s">
        <v>334</v>
      </c>
      <c r="BG21" s="2" t="str">
        <f t="shared" si="1"/>
        <v>技術部</v>
      </c>
      <c r="BH21" s="2" t="s">
        <v>380</v>
      </c>
    </row>
    <row r="22" spans="1:60">
      <c r="A22" s="36"/>
      <c r="B22" s="36"/>
      <c r="D22" s="36"/>
      <c r="E22" s="36"/>
      <c r="F22" s="36"/>
      <c r="G22" s="36"/>
      <c r="I22" s="36"/>
      <c r="K22" s="36"/>
      <c r="M22" s="36"/>
      <c r="O22" s="36"/>
      <c r="Q22" s="36"/>
      <c r="S22" s="36"/>
      <c r="U22" s="36"/>
      <c r="W22" s="36"/>
      <c r="Y22" s="36"/>
      <c r="AA22" s="36"/>
      <c r="AB22" s="36"/>
      <c r="AO22" s="53"/>
      <c r="AP22" s="53"/>
      <c r="AQ22" s="124"/>
      <c r="AR22" s="52" t="s">
        <v>125</v>
      </c>
      <c r="AS22" s="52" t="s">
        <v>163</v>
      </c>
      <c r="AT22" s="52" t="s">
        <v>164</v>
      </c>
      <c r="AU22" s="34"/>
      <c r="AV22" s="36"/>
      <c r="AW22" s="34"/>
      <c r="AX22" s="53" t="s">
        <v>589</v>
      </c>
      <c r="AY22" s="53" t="s">
        <v>381</v>
      </c>
      <c r="AZ22" s="34"/>
      <c r="BA22" s="2" t="s">
        <v>213</v>
      </c>
      <c r="BC22" t="s">
        <v>336</v>
      </c>
      <c r="BD22" s="2" t="str">
        <f t="shared" si="0"/>
        <v>前田昭浩</v>
      </c>
      <c r="BF22" s="53" t="s">
        <v>334</v>
      </c>
      <c r="BG22" s="2" t="str">
        <f t="shared" si="1"/>
        <v>技術部</v>
      </c>
      <c r="BH22" s="2" t="s">
        <v>380</v>
      </c>
    </row>
    <row r="23" spans="1:60">
      <c r="A23" s="36"/>
      <c r="B23" s="36"/>
      <c r="D23" s="36"/>
      <c r="E23" s="36"/>
      <c r="F23" s="36"/>
      <c r="G23" s="36"/>
      <c r="I23" s="36"/>
      <c r="K23" s="36"/>
      <c r="M23" s="36"/>
      <c r="O23" s="36"/>
      <c r="Q23" s="36"/>
      <c r="S23" s="36"/>
      <c r="U23" s="36"/>
      <c r="W23" s="36"/>
      <c r="Y23" s="36"/>
      <c r="AA23" s="36"/>
      <c r="AB23" s="36"/>
      <c r="AO23" s="53"/>
      <c r="AP23" s="53"/>
      <c r="AQ23" s="124"/>
      <c r="AR23" s="52" t="s">
        <v>125</v>
      </c>
      <c r="AS23" s="52" t="s">
        <v>165</v>
      </c>
      <c r="AT23" s="52" t="s">
        <v>166</v>
      </c>
      <c r="AU23" s="34"/>
      <c r="AV23" s="36"/>
      <c r="AW23" s="34"/>
      <c r="AX23" s="53" t="s">
        <v>361</v>
      </c>
      <c r="AY23" s="53" t="s">
        <v>379</v>
      </c>
      <c r="AZ23" s="34"/>
      <c r="BA23" s="2" t="s">
        <v>213</v>
      </c>
      <c r="BC23" t="s">
        <v>340</v>
      </c>
      <c r="BD23" s="2" t="str">
        <f t="shared" si="0"/>
        <v>荒木浩</v>
      </c>
      <c r="BF23" s="53" t="s">
        <v>341</v>
      </c>
      <c r="BG23" s="2" t="str">
        <f t="shared" si="1"/>
        <v>製造部</v>
      </c>
      <c r="BH23" s="2" t="s">
        <v>381</v>
      </c>
    </row>
    <row r="24" spans="1:60" ht="37.5">
      <c r="A24" s="36"/>
      <c r="B24" s="36"/>
      <c r="D24" s="36"/>
      <c r="E24" s="36"/>
      <c r="F24" s="36"/>
      <c r="G24" s="36"/>
      <c r="I24" s="36"/>
      <c r="K24" s="36"/>
      <c r="M24" s="36"/>
      <c r="O24" s="36"/>
      <c r="Q24" s="36"/>
      <c r="S24" s="36"/>
      <c r="U24" s="36"/>
      <c r="W24" s="36"/>
      <c r="Y24" s="36"/>
      <c r="AA24" s="36"/>
      <c r="AB24" s="36"/>
      <c r="AO24" s="53"/>
      <c r="AP24" s="53"/>
      <c r="AQ24" s="124"/>
      <c r="AR24" s="52" t="s">
        <v>125</v>
      </c>
      <c r="AS24" s="52" t="s">
        <v>167</v>
      </c>
      <c r="AT24" s="52" t="s">
        <v>168</v>
      </c>
      <c r="AU24" s="34"/>
      <c r="AV24" s="36"/>
      <c r="AW24" s="34"/>
      <c r="AX24" s="53" t="s">
        <v>505</v>
      </c>
      <c r="AY24" s="53" t="s">
        <v>381</v>
      </c>
      <c r="AZ24" s="34"/>
      <c r="BA24" s="2" t="s">
        <v>213</v>
      </c>
      <c r="BC24" t="s">
        <v>342</v>
      </c>
      <c r="BD24" s="2" t="str">
        <f t="shared" si="0"/>
        <v>高橋日出拡</v>
      </c>
      <c r="BF24" s="53" t="s">
        <v>341</v>
      </c>
      <c r="BG24" s="2" t="str">
        <f t="shared" si="1"/>
        <v>製造部</v>
      </c>
      <c r="BH24" s="2" t="s">
        <v>381</v>
      </c>
    </row>
    <row r="25" spans="1:60">
      <c r="A25" s="36"/>
      <c r="B25" s="36"/>
      <c r="D25" s="36"/>
      <c r="E25" s="36"/>
      <c r="F25" s="36"/>
      <c r="G25" s="36"/>
      <c r="I25" s="36"/>
      <c r="K25" s="36"/>
      <c r="M25" s="36"/>
      <c r="O25" s="36"/>
      <c r="Q25" s="36"/>
      <c r="S25" s="36"/>
      <c r="U25" s="36"/>
      <c r="W25" s="36"/>
      <c r="Y25" s="36"/>
      <c r="AA25" s="36"/>
      <c r="AB25" s="36"/>
      <c r="AO25" s="53"/>
      <c r="AP25" s="53"/>
      <c r="AQ25" s="124"/>
      <c r="AR25" s="52" t="s">
        <v>125</v>
      </c>
      <c r="AS25" s="52" t="s">
        <v>169</v>
      </c>
      <c r="AT25" s="52" t="s">
        <v>170</v>
      </c>
      <c r="AU25" s="34"/>
      <c r="AV25" s="36"/>
      <c r="AW25" s="34"/>
      <c r="AX25" s="53" t="s">
        <v>360</v>
      </c>
      <c r="AY25" s="53" t="s">
        <v>382</v>
      </c>
      <c r="AZ25" s="34"/>
      <c r="BA25" s="2" t="s">
        <v>213</v>
      </c>
      <c r="BC25" t="s">
        <v>346</v>
      </c>
      <c r="BD25" s="2" t="str">
        <f t="shared" si="0"/>
        <v>四倉徹</v>
      </c>
      <c r="BF25" s="53" t="s">
        <v>341</v>
      </c>
      <c r="BG25" s="2" t="str">
        <f t="shared" si="1"/>
        <v>製造部</v>
      </c>
      <c r="BH25" s="2" t="s">
        <v>381</v>
      </c>
    </row>
    <row r="26" spans="1:60">
      <c r="A26" s="36"/>
      <c r="B26" s="36"/>
      <c r="D26" s="36"/>
      <c r="E26" s="36"/>
      <c r="F26" s="36"/>
      <c r="G26" s="36"/>
      <c r="I26" s="36"/>
      <c r="K26" s="36"/>
      <c r="M26" s="36"/>
      <c r="O26" s="36"/>
      <c r="Q26" s="36"/>
      <c r="S26" s="36"/>
      <c r="U26" s="36"/>
      <c r="W26" s="36"/>
      <c r="Y26" s="36"/>
      <c r="AA26" s="36"/>
      <c r="AB26" s="36"/>
      <c r="AO26" s="53"/>
      <c r="AP26" s="53"/>
      <c r="AQ26" s="124"/>
      <c r="AR26" s="52" t="s">
        <v>125</v>
      </c>
      <c r="AS26" s="52" t="s">
        <v>171</v>
      </c>
      <c r="AT26" s="52" t="s">
        <v>172</v>
      </c>
      <c r="AU26" s="34"/>
      <c r="AV26" s="36"/>
      <c r="AW26" s="34"/>
      <c r="AX26" s="53" t="s">
        <v>363</v>
      </c>
      <c r="AY26" s="53" t="s">
        <v>379</v>
      </c>
      <c r="AZ26" s="34"/>
      <c r="BA26" s="2" t="s">
        <v>213</v>
      </c>
      <c r="BC26" t="s">
        <v>345</v>
      </c>
      <c r="BD26" s="2" t="str">
        <f t="shared" si="0"/>
        <v>新岡理央</v>
      </c>
      <c r="BF26" s="53" t="s">
        <v>341</v>
      </c>
      <c r="BG26" s="2" t="str">
        <f t="shared" si="1"/>
        <v>製造部</v>
      </c>
      <c r="BH26" s="2" t="s">
        <v>381</v>
      </c>
    </row>
    <row r="27" spans="1:60">
      <c r="A27" s="36"/>
      <c r="B27" s="36"/>
      <c r="D27" s="36"/>
      <c r="E27" s="36"/>
      <c r="F27" s="36"/>
      <c r="G27" s="36"/>
      <c r="I27" s="36"/>
      <c r="K27" s="36"/>
      <c r="M27" s="36"/>
      <c r="O27" s="36"/>
      <c r="Q27" s="36"/>
      <c r="S27" s="36"/>
      <c r="U27" s="36"/>
      <c r="W27" s="36"/>
      <c r="Y27" s="36"/>
      <c r="AA27" s="36"/>
      <c r="AB27" s="36"/>
      <c r="AO27" s="53"/>
      <c r="AP27" s="53"/>
      <c r="AQ27" s="124"/>
      <c r="AR27" s="52" t="s">
        <v>125</v>
      </c>
      <c r="AS27" s="52" t="s">
        <v>173</v>
      </c>
      <c r="AT27" s="52" t="s">
        <v>174</v>
      </c>
      <c r="AU27" s="34"/>
      <c r="AV27" s="36"/>
      <c r="AW27" s="34"/>
      <c r="AX27" s="53" t="s">
        <v>378</v>
      </c>
      <c r="AY27" s="53" t="s">
        <v>379</v>
      </c>
      <c r="AZ27" s="34"/>
      <c r="BA27" s="2" t="s">
        <v>213</v>
      </c>
      <c r="BC27" t="s">
        <v>343</v>
      </c>
      <c r="BD27" s="2" t="str">
        <f t="shared" si="0"/>
        <v>田中彪雅</v>
      </c>
      <c r="BF27" s="53" t="s">
        <v>341</v>
      </c>
      <c r="BG27" s="2" t="str">
        <f t="shared" si="1"/>
        <v>製造部</v>
      </c>
      <c r="BH27" s="2" t="s">
        <v>381</v>
      </c>
    </row>
    <row r="28" spans="1:60">
      <c r="A28" s="36"/>
      <c r="B28" s="36"/>
      <c r="D28" s="36"/>
      <c r="E28" s="36"/>
      <c r="F28" s="36"/>
      <c r="G28" s="36"/>
      <c r="I28" s="36"/>
      <c r="K28" s="36"/>
      <c r="M28" s="36"/>
      <c r="O28" s="36"/>
      <c r="Q28" s="36"/>
      <c r="S28" s="36"/>
      <c r="U28" s="36"/>
      <c r="W28" s="36"/>
      <c r="Y28" s="36"/>
      <c r="AA28" s="36"/>
      <c r="AB28" s="36"/>
      <c r="AO28" s="53"/>
      <c r="AP28" s="53"/>
      <c r="AQ28" s="124"/>
      <c r="AR28" s="52" t="s">
        <v>128</v>
      </c>
      <c r="AS28" s="52" t="s">
        <v>175</v>
      </c>
      <c r="AT28" s="52" t="s">
        <v>176</v>
      </c>
      <c r="AU28" s="34"/>
      <c r="AV28" s="36"/>
      <c r="AW28" s="34"/>
      <c r="AX28" s="53" t="s">
        <v>362</v>
      </c>
      <c r="AY28" s="53" t="s">
        <v>379</v>
      </c>
      <c r="AZ28" s="34"/>
      <c r="BA28" s="2" t="s">
        <v>213</v>
      </c>
      <c r="BC28" t="s">
        <v>344</v>
      </c>
      <c r="BD28" s="2" t="str">
        <f t="shared" si="0"/>
        <v>徳永恵理</v>
      </c>
      <c r="BF28" s="53" t="s">
        <v>341</v>
      </c>
      <c r="BG28" s="2" t="str">
        <f t="shared" si="1"/>
        <v>製造部</v>
      </c>
      <c r="BH28" s="2" t="s">
        <v>381</v>
      </c>
    </row>
    <row r="29" spans="1:60" ht="37.5">
      <c r="A29" s="36"/>
      <c r="B29" s="36"/>
      <c r="D29" s="36"/>
      <c r="E29" s="36"/>
      <c r="F29" s="36"/>
      <c r="G29" s="36"/>
      <c r="I29" s="36"/>
      <c r="K29" s="36"/>
      <c r="M29" s="36"/>
      <c r="O29" s="36"/>
      <c r="Q29" s="36"/>
      <c r="S29" s="36"/>
      <c r="U29" s="36"/>
      <c r="W29" s="36"/>
      <c r="Y29" s="36"/>
      <c r="AA29" s="36"/>
      <c r="AB29" s="36"/>
      <c r="AO29" s="53"/>
      <c r="AP29" s="53"/>
      <c r="AQ29" s="124"/>
      <c r="AR29" s="52" t="s">
        <v>128</v>
      </c>
      <c r="AS29" s="52" t="s">
        <v>177</v>
      </c>
      <c r="AT29" s="52" t="s">
        <v>178</v>
      </c>
      <c r="AU29" s="34"/>
      <c r="AV29" s="36"/>
      <c r="AW29" s="34"/>
      <c r="AX29" s="53" t="s">
        <v>374</v>
      </c>
      <c r="AY29" s="53" t="s">
        <v>500</v>
      </c>
      <c r="AZ29" s="34"/>
      <c r="BA29" s="2" t="s">
        <v>213</v>
      </c>
      <c r="BC29" t="s">
        <v>347</v>
      </c>
      <c r="BD29" s="2" t="str">
        <f t="shared" si="0"/>
        <v>佐々木陽子</v>
      </c>
      <c r="BF29" s="53" t="s">
        <v>348</v>
      </c>
      <c r="BG29" s="2" t="str">
        <f t="shared" si="1"/>
        <v>総務部</v>
      </c>
      <c r="BH29" s="2" t="s">
        <v>382</v>
      </c>
    </row>
    <row r="30" spans="1:60">
      <c r="A30" s="36"/>
      <c r="B30" s="36"/>
      <c r="D30" s="36"/>
      <c r="E30" s="36"/>
      <c r="F30" s="36"/>
      <c r="G30" s="36"/>
      <c r="I30" s="36"/>
      <c r="K30" s="36"/>
      <c r="M30" s="36"/>
      <c r="O30" s="36"/>
      <c r="Q30" s="36"/>
      <c r="S30" s="36"/>
      <c r="U30" s="36"/>
      <c r="W30" s="36"/>
      <c r="Y30" s="36"/>
      <c r="AA30" s="36"/>
      <c r="AB30" s="36"/>
      <c r="AO30" s="53"/>
      <c r="AP30" s="53"/>
      <c r="AQ30" s="124"/>
      <c r="AR30" s="52" t="s">
        <v>128</v>
      </c>
      <c r="AS30" s="52" t="s">
        <v>179</v>
      </c>
      <c r="AT30" s="52" t="s">
        <v>180</v>
      </c>
      <c r="AU30" s="34"/>
      <c r="AV30" s="36"/>
      <c r="AW30" s="34"/>
      <c r="AX30" s="53" t="s">
        <v>364</v>
      </c>
      <c r="AY30" s="53" t="s">
        <v>379</v>
      </c>
      <c r="AZ30" s="34"/>
      <c r="BA30" s="2" t="s">
        <v>213</v>
      </c>
      <c r="BC30" t="s">
        <v>351</v>
      </c>
      <c r="BD30" s="2" t="str">
        <f t="shared" si="0"/>
        <v>山下美幸</v>
      </c>
      <c r="BF30" s="53" t="s">
        <v>348</v>
      </c>
      <c r="BG30" s="2" t="str">
        <f t="shared" si="1"/>
        <v>総務部</v>
      </c>
      <c r="BH30" s="2" t="s">
        <v>382</v>
      </c>
    </row>
    <row r="31" spans="1:60" ht="37.5">
      <c r="A31" s="36"/>
      <c r="B31" s="36"/>
      <c r="D31" s="36"/>
      <c r="E31" s="36"/>
      <c r="F31" s="36"/>
      <c r="G31" s="36"/>
      <c r="I31" s="36"/>
      <c r="K31" s="36"/>
      <c r="M31" s="36"/>
      <c r="O31" s="36"/>
      <c r="Q31" s="36"/>
      <c r="S31" s="36"/>
      <c r="U31" s="36"/>
      <c r="W31" s="36"/>
      <c r="Y31" s="36"/>
      <c r="AA31" s="36"/>
      <c r="AB31" s="36"/>
      <c r="AO31" s="53"/>
      <c r="AP31" s="53"/>
      <c r="AQ31" s="124"/>
      <c r="AR31" s="52" t="s">
        <v>128</v>
      </c>
      <c r="AS31" s="52" t="s">
        <v>181</v>
      </c>
      <c r="AT31" s="52" t="s">
        <v>182</v>
      </c>
      <c r="AU31" s="34"/>
      <c r="AV31" s="36"/>
      <c r="AW31" s="34"/>
      <c r="AX31" s="53" t="s">
        <v>506</v>
      </c>
      <c r="AY31" s="53" t="s">
        <v>380</v>
      </c>
      <c r="AZ31" s="34"/>
      <c r="BA31" s="2" t="s">
        <v>213</v>
      </c>
      <c r="BC31" t="s">
        <v>349</v>
      </c>
      <c r="BD31" s="2" t="str">
        <f t="shared" si="0"/>
        <v>杉田ゆみか</v>
      </c>
      <c r="BF31" s="53" t="s">
        <v>348</v>
      </c>
      <c r="BG31" s="2" t="str">
        <f t="shared" si="1"/>
        <v>総務部</v>
      </c>
      <c r="BH31" s="2" t="s">
        <v>382</v>
      </c>
    </row>
    <row r="32" spans="1:60">
      <c r="A32" s="36"/>
      <c r="B32" s="36"/>
      <c r="D32" s="36"/>
      <c r="E32" s="36"/>
      <c r="F32" s="36"/>
      <c r="G32" s="36"/>
      <c r="I32" s="36"/>
      <c r="K32" s="36"/>
      <c r="M32" s="36"/>
      <c r="O32" s="36"/>
      <c r="Q32" s="36"/>
      <c r="S32" s="36"/>
      <c r="U32" s="36"/>
      <c r="W32" s="36"/>
      <c r="Y32" s="36"/>
      <c r="AA32" s="36"/>
      <c r="AB32" s="36"/>
      <c r="AO32" s="53"/>
      <c r="AP32" s="53"/>
      <c r="AQ32" s="124"/>
      <c r="AR32" s="52" t="s">
        <v>128</v>
      </c>
      <c r="AS32" s="52" t="s">
        <v>183</v>
      </c>
      <c r="AT32" s="52" t="s">
        <v>184</v>
      </c>
      <c r="AU32" s="34"/>
      <c r="AV32" s="36"/>
      <c r="AW32" s="34"/>
      <c r="AX32" s="53" t="s">
        <v>368</v>
      </c>
      <c r="AY32" s="53" t="s">
        <v>380</v>
      </c>
      <c r="AZ32" s="34"/>
      <c r="BA32" s="2" t="s">
        <v>213</v>
      </c>
      <c r="BC32" t="s">
        <v>350</v>
      </c>
      <c r="BD32" s="2" t="str">
        <f t="shared" si="0"/>
        <v>藤原透</v>
      </c>
      <c r="BF32" s="53" t="s">
        <v>348</v>
      </c>
      <c r="BG32" s="2" t="str">
        <f t="shared" si="1"/>
        <v>総務部</v>
      </c>
      <c r="BH32" s="2" t="s">
        <v>382</v>
      </c>
    </row>
    <row r="33" spans="1:60">
      <c r="A33" s="36"/>
      <c r="B33" s="36"/>
      <c r="D33" s="36"/>
      <c r="E33" s="36"/>
      <c r="F33" s="36"/>
      <c r="G33" s="36"/>
      <c r="I33" s="36"/>
      <c r="K33" s="36"/>
      <c r="M33" s="36"/>
      <c r="O33" s="36"/>
      <c r="Q33" s="36"/>
      <c r="S33" s="36"/>
      <c r="U33" s="36"/>
      <c r="W33" s="36"/>
      <c r="Y33" s="36"/>
      <c r="AA33" s="36"/>
      <c r="AB33" s="36"/>
      <c r="AO33" s="53"/>
      <c r="AP33" s="53"/>
      <c r="AQ33" s="124"/>
      <c r="AR33" s="52" t="s">
        <v>128</v>
      </c>
      <c r="AS33" s="52" t="s">
        <v>185</v>
      </c>
      <c r="AT33" s="52" t="s">
        <v>186</v>
      </c>
      <c r="AU33" s="34"/>
      <c r="AV33" s="36"/>
      <c r="AW33" s="34"/>
      <c r="AX33" s="53" t="s">
        <v>367</v>
      </c>
      <c r="AY33" s="53" t="s">
        <v>380</v>
      </c>
      <c r="AZ33" s="34"/>
      <c r="BA33" s="2" t="s">
        <v>213</v>
      </c>
      <c r="BC33" t="s">
        <v>328</v>
      </c>
      <c r="BD33" s="2" t="str">
        <f t="shared" si="0"/>
        <v>荒田展榮</v>
      </c>
      <c r="BF33" s="53" t="s">
        <v>255</v>
      </c>
      <c r="BG33" s="2" t="str">
        <f>CONCATENATE(BF33,"部")</f>
        <v>営業部</v>
      </c>
      <c r="BH33" s="2" t="s">
        <v>379</v>
      </c>
    </row>
    <row r="34" spans="1:60">
      <c r="A34" s="36"/>
      <c r="B34" s="36"/>
      <c r="D34" s="36"/>
      <c r="E34" s="36"/>
      <c r="F34" s="36"/>
      <c r="G34" s="36"/>
      <c r="I34" s="36"/>
      <c r="K34" s="36"/>
      <c r="M34" s="36"/>
      <c r="O34" s="36"/>
      <c r="Q34" s="36"/>
      <c r="S34" s="36"/>
      <c r="U34" s="36"/>
      <c r="W34" s="36"/>
      <c r="Y34" s="36"/>
      <c r="AA34" s="36"/>
      <c r="AB34" s="36"/>
      <c r="AO34" s="53"/>
      <c r="AP34" s="53"/>
      <c r="AQ34" s="124"/>
      <c r="AR34" s="52" t="s">
        <v>128</v>
      </c>
      <c r="AS34" s="52" t="s">
        <v>187</v>
      </c>
      <c r="AT34" s="52" t="s">
        <v>188</v>
      </c>
      <c r="AU34" s="34"/>
      <c r="AV34" s="36"/>
      <c r="AW34" s="34"/>
      <c r="AX34" s="53" t="s">
        <v>507</v>
      </c>
      <c r="AY34" s="53" t="s">
        <v>379</v>
      </c>
      <c r="AZ34" s="34"/>
      <c r="BA34" s="2" t="s">
        <v>213</v>
      </c>
      <c r="BC34" t="s">
        <v>331</v>
      </c>
      <c r="BD34" s="2" t="str">
        <f t="shared" si="0"/>
        <v>上口未来</v>
      </c>
      <c r="BF34" s="53" t="s">
        <v>255</v>
      </c>
      <c r="BG34" s="2" t="str">
        <f t="shared" si="1"/>
        <v>営業部</v>
      </c>
      <c r="BH34" s="2" t="s">
        <v>379</v>
      </c>
    </row>
    <row r="35" spans="1:60">
      <c r="A35" s="36"/>
      <c r="B35" s="36"/>
      <c r="D35" s="36"/>
      <c r="E35" s="36"/>
      <c r="F35" s="36"/>
      <c r="G35" s="36"/>
      <c r="I35" s="36"/>
      <c r="K35" s="36"/>
      <c r="M35" s="36"/>
      <c r="O35" s="36"/>
      <c r="Q35" s="36"/>
      <c r="S35" s="36"/>
      <c r="U35" s="36"/>
      <c r="W35" s="36"/>
      <c r="Y35" s="36"/>
      <c r="AA35" s="36"/>
      <c r="AB35" s="36"/>
      <c r="AO35" s="53"/>
      <c r="AP35" s="53"/>
      <c r="AQ35" s="124"/>
      <c r="AR35" s="52" t="s">
        <v>128</v>
      </c>
      <c r="AS35" s="52" t="s">
        <v>189</v>
      </c>
      <c r="AT35" s="52" t="s">
        <v>190</v>
      </c>
      <c r="AU35" s="34"/>
      <c r="AV35" s="36"/>
      <c r="AW35" s="34"/>
      <c r="AX35" s="53" t="s">
        <v>366</v>
      </c>
      <c r="AY35" s="53" t="s">
        <v>380</v>
      </c>
      <c r="AZ35" s="34"/>
      <c r="BA35" s="2" t="s">
        <v>213</v>
      </c>
      <c r="BC35" t="s">
        <v>329</v>
      </c>
      <c r="BD35" s="2" t="str">
        <f t="shared" si="0"/>
        <v>大平厚志</v>
      </c>
      <c r="BF35" s="53" t="s">
        <v>255</v>
      </c>
      <c r="BG35" s="2" t="str">
        <f t="shared" si="1"/>
        <v>営業部</v>
      </c>
      <c r="BH35" s="2" t="s">
        <v>379</v>
      </c>
    </row>
    <row r="36" spans="1:60">
      <c r="A36" s="36"/>
      <c r="B36" s="36"/>
      <c r="D36" s="36"/>
      <c r="E36" s="36"/>
      <c r="F36" s="36"/>
      <c r="G36" s="36"/>
      <c r="I36" s="36"/>
      <c r="K36" s="36"/>
      <c r="M36" s="36"/>
      <c r="O36" s="36"/>
      <c r="Q36" s="36"/>
      <c r="S36" s="36"/>
      <c r="U36" s="36"/>
      <c r="W36" s="36"/>
      <c r="Y36" s="36"/>
      <c r="AA36" s="36"/>
      <c r="AB36" s="36"/>
      <c r="AO36" s="53"/>
      <c r="AP36" s="53"/>
      <c r="AQ36" s="124"/>
      <c r="AR36" s="52" t="s">
        <v>128</v>
      </c>
      <c r="AS36" s="52" t="s">
        <v>191</v>
      </c>
      <c r="AT36" s="52" t="s">
        <v>192</v>
      </c>
      <c r="AU36" s="34"/>
      <c r="AV36" s="36"/>
      <c r="AW36" s="34"/>
      <c r="AX36" s="53" t="s">
        <v>371</v>
      </c>
      <c r="AY36" s="53" t="s">
        <v>381</v>
      </c>
      <c r="AZ36" s="34"/>
      <c r="BA36" s="2" t="s">
        <v>213</v>
      </c>
      <c r="BC36" t="s">
        <v>330</v>
      </c>
      <c r="BD36" s="2" t="str">
        <f t="shared" si="0"/>
        <v>尾崎英人</v>
      </c>
      <c r="BF36" s="53" t="s">
        <v>255</v>
      </c>
      <c r="BG36" s="2" t="str">
        <f t="shared" si="1"/>
        <v>営業部</v>
      </c>
      <c r="BH36" s="2" t="s">
        <v>379</v>
      </c>
    </row>
    <row r="37" spans="1:60">
      <c r="A37" s="36"/>
      <c r="B37" s="36"/>
      <c r="D37" s="36"/>
      <c r="E37" s="36"/>
      <c r="F37" s="36"/>
      <c r="G37" s="36"/>
      <c r="I37" s="36"/>
      <c r="K37" s="36"/>
      <c r="M37" s="36"/>
      <c r="O37" s="36"/>
      <c r="Q37" s="36"/>
      <c r="S37" s="36"/>
      <c r="U37" s="36"/>
      <c r="W37" s="36"/>
      <c r="Y37" s="36"/>
      <c r="AA37" s="36"/>
      <c r="AB37" s="36"/>
      <c r="AO37" s="53"/>
      <c r="AP37" s="53"/>
      <c r="AQ37" s="124"/>
      <c r="AR37" s="52" t="s">
        <v>128</v>
      </c>
      <c r="AS37" s="52" t="s">
        <v>193</v>
      </c>
      <c r="AT37" s="52" t="s">
        <v>194</v>
      </c>
      <c r="AU37" s="34"/>
      <c r="AV37" s="36"/>
      <c r="AW37" s="34"/>
      <c r="AX37" s="36" t="s">
        <v>378</v>
      </c>
      <c r="AY37" s="36" t="s">
        <v>379</v>
      </c>
      <c r="AZ37" s="34"/>
      <c r="BA37" s="2" t="s">
        <v>213</v>
      </c>
      <c r="BC37" t="s">
        <v>332</v>
      </c>
      <c r="BD37" s="2" t="str">
        <f t="shared" si="0"/>
        <v>平木勝</v>
      </c>
      <c r="BF37" s="53" t="s">
        <v>255</v>
      </c>
      <c r="BG37" s="2" t="str">
        <f t="shared" si="1"/>
        <v>営業部</v>
      </c>
      <c r="BH37" s="2" t="s">
        <v>379</v>
      </c>
    </row>
    <row r="38" spans="1:60">
      <c r="A38" s="36"/>
      <c r="B38" s="36"/>
      <c r="D38" s="36"/>
      <c r="E38" s="36"/>
      <c r="F38" s="36"/>
      <c r="G38" s="36"/>
      <c r="I38" s="36"/>
      <c r="K38" s="36"/>
      <c r="M38" s="36"/>
      <c r="O38" s="36"/>
      <c r="Q38" s="36"/>
      <c r="S38" s="36"/>
      <c r="U38" s="36"/>
      <c r="W38" s="36"/>
      <c r="Y38" s="36"/>
      <c r="AA38" s="36"/>
      <c r="AB38" s="36"/>
      <c r="AO38" s="53"/>
      <c r="AP38" s="53"/>
      <c r="AQ38" s="124"/>
      <c r="AR38" s="52" t="s">
        <v>128</v>
      </c>
      <c r="AS38" s="52" t="s">
        <v>195</v>
      </c>
      <c r="AT38" s="52" t="s">
        <v>196</v>
      </c>
      <c r="AU38" s="34"/>
      <c r="AV38" s="36"/>
      <c r="AW38" s="34"/>
      <c r="AX38" s="36"/>
      <c r="AY38" s="36"/>
      <c r="AZ38" s="34"/>
      <c r="BA38" s="2" t="s">
        <v>213</v>
      </c>
    </row>
    <row r="39" spans="1:60">
      <c r="A39" s="36"/>
      <c r="B39" s="36"/>
      <c r="D39" s="36"/>
      <c r="E39" s="36"/>
      <c r="F39" s="36"/>
      <c r="G39" s="36"/>
      <c r="I39" s="36"/>
      <c r="K39" s="36"/>
      <c r="M39" s="36"/>
      <c r="O39" s="36"/>
      <c r="Q39" s="36"/>
      <c r="S39" s="36"/>
      <c r="U39" s="36"/>
      <c r="W39" s="36"/>
      <c r="Y39" s="36"/>
      <c r="AA39" s="36"/>
      <c r="AB39" s="36"/>
      <c r="AO39" s="53"/>
      <c r="AP39" s="53"/>
      <c r="AQ39" s="124"/>
      <c r="AR39" s="52" t="s">
        <v>128</v>
      </c>
      <c r="AS39" s="52" t="s">
        <v>197</v>
      </c>
      <c r="AT39" s="52" t="s">
        <v>198</v>
      </c>
      <c r="AU39" s="34"/>
      <c r="AV39" s="36"/>
      <c r="AW39" s="34"/>
      <c r="AX39" s="36"/>
      <c r="AY39" s="36"/>
      <c r="AZ39" s="34"/>
      <c r="BA39" s="2" t="s">
        <v>213</v>
      </c>
    </row>
    <row r="40" spans="1:60">
      <c r="A40" s="36"/>
      <c r="B40" s="36"/>
      <c r="D40" s="36"/>
      <c r="E40" s="36"/>
      <c r="F40" s="36"/>
      <c r="G40" s="36"/>
      <c r="I40" s="36"/>
      <c r="K40" s="36"/>
      <c r="M40" s="36"/>
      <c r="O40" s="36"/>
      <c r="Q40" s="36"/>
      <c r="S40" s="36"/>
      <c r="U40" s="36"/>
      <c r="W40" s="36"/>
      <c r="Y40" s="36"/>
      <c r="AA40" s="36"/>
      <c r="AB40" s="36"/>
      <c r="AO40" s="53"/>
      <c r="AP40" s="53"/>
      <c r="AQ40" s="124"/>
      <c r="AR40" s="52" t="s">
        <v>128</v>
      </c>
      <c r="AS40" s="52" t="s">
        <v>199</v>
      </c>
      <c r="AT40" s="52" t="s">
        <v>200</v>
      </c>
      <c r="AU40" s="34"/>
      <c r="AV40" s="36"/>
      <c r="AW40" s="34"/>
      <c r="AX40" s="36"/>
      <c r="AY40" s="36"/>
      <c r="AZ40" s="34"/>
      <c r="BA40" s="2" t="s">
        <v>213</v>
      </c>
    </row>
    <row r="41" spans="1:60">
      <c r="A41" s="36"/>
      <c r="B41" s="36"/>
      <c r="D41" s="36"/>
      <c r="E41" s="36"/>
      <c r="F41" s="36"/>
      <c r="G41" s="36"/>
      <c r="I41" s="36"/>
      <c r="K41" s="36"/>
      <c r="M41" s="36"/>
      <c r="O41" s="36"/>
      <c r="Q41" s="36"/>
      <c r="S41" s="36"/>
      <c r="U41" s="36"/>
      <c r="W41" s="36"/>
      <c r="Y41" s="36"/>
      <c r="AA41" s="36"/>
      <c r="AB41" s="36"/>
      <c r="AO41" s="53"/>
      <c r="AP41" s="53"/>
      <c r="AQ41" s="124"/>
      <c r="AR41" s="52" t="s">
        <v>128</v>
      </c>
      <c r="AS41" s="52" t="s">
        <v>201</v>
      </c>
      <c r="AT41" s="52" t="s">
        <v>202</v>
      </c>
      <c r="AU41" s="34"/>
      <c r="AV41" s="36"/>
      <c r="AW41" s="34"/>
      <c r="AX41" s="36"/>
      <c r="AY41" s="36"/>
      <c r="AZ41" s="34"/>
      <c r="BA41" s="2" t="s">
        <v>213</v>
      </c>
    </row>
    <row r="42" spans="1:60">
      <c r="A42" s="36"/>
      <c r="B42" s="36"/>
      <c r="D42" s="36"/>
      <c r="E42" s="36"/>
      <c r="F42" s="36"/>
      <c r="G42" s="36"/>
      <c r="I42" s="36"/>
      <c r="K42" s="36"/>
      <c r="M42" s="36"/>
      <c r="O42" s="36"/>
      <c r="Q42" s="36"/>
      <c r="S42" s="36"/>
      <c r="U42" s="36"/>
      <c r="W42" s="36"/>
      <c r="Y42" s="36"/>
      <c r="AA42" s="36"/>
      <c r="AB42" s="36"/>
      <c r="AO42" s="53"/>
      <c r="AP42" s="53"/>
      <c r="AQ42" s="124"/>
      <c r="AR42" s="52" t="s">
        <v>128</v>
      </c>
      <c r="AS42" s="52" t="s">
        <v>203</v>
      </c>
      <c r="AT42" s="52" t="s">
        <v>204</v>
      </c>
      <c r="AU42" s="34"/>
      <c r="AV42" s="36"/>
      <c r="AW42" s="34"/>
      <c r="AX42" s="36"/>
      <c r="AY42" s="36"/>
      <c r="AZ42" s="34"/>
      <c r="BA42" s="2" t="s">
        <v>213</v>
      </c>
    </row>
    <row r="43" spans="1:60">
      <c r="A43" s="36"/>
      <c r="B43" s="36"/>
      <c r="D43" s="36"/>
      <c r="E43" s="36"/>
      <c r="F43" s="36"/>
      <c r="G43" s="36"/>
      <c r="I43" s="36"/>
      <c r="K43" s="36"/>
      <c r="M43" s="36"/>
      <c r="O43" s="36"/>
      <c r="Q43" s="36"/>
      <c r="S43" s="36"/>
      <c r="U43" s="36"/>
      <c r="W43" s="36"/>
      <c r="Y43" s="36"/>
      <c r="AA43" s="36"/>
      <c r="AB43" s="36"/>
      <c r="AO43" s="53"/>
      <c r="AP43" s="53"/>
      <c r="AQ43" s="124"/>
      <c r="AR43" s="52" t="s">
        <v>128</v>
      </c>
      <c r="AS43" s="52" t="s">
        <v>205</v>
      </c>
      <c r="AT43" s="52" t="s">
        <v>206</v>
      </c>
      <c r="AU43" s="34"/>
      <c r="AV43" s="36"/>
      <c r="AW43" s="34"/>
      <c r="AX43" s="36"/>
      <c r="AY43" s="36"/>
      <c r="AZ43" s="34"/>
      <c r="BA43" s="2" t="s">
        <v>213</v>
      </c>
    </row>
    <row r="44" spans="1:60">
      <c r="A44" s="36"/>
      <c r="B44" s="36"/>
      <c r="D44" s="36"/>
      <c r="E44" s="36"/>
      <c r="F44" s="36"/>
      <c r="G44" s="36"/>
      <c r="I44" s="36"/>
      <c r="K44" s="36"/>
      <c r="M44" s="36"/>
      <c r="O44" s="36"/>
      <c r="Q44" s="36"/>
      <c r="S44" s="36"/>
      <c r="U44" s="36"/>
      <c r="W44" s="36"/>
      <c r="Y44" s="36"/>
      <c r="AA44" s="36"/>
      <c r="AB44" s="36"/>
      <c r="AO44" s="53"/>
      <c r="AP44" s="53"/>
      <c r="AQ44" s="124"/>
      <c r="AR44" s="52" t="s">
        <v>128</v>
      </c>
      <c r="AS44" s="52" t="s">
        <v>207</v>
      </c>
      <c r="AT44" s="52" t="s">
        <v>208</v>
      </c>
      <c r="AU44" s="34"/>
      <c r="AV44" s="36"/>
      <c r="AW44" s="34"/>
      <c r="AX44" s="36"/>
      <c r="AY44" s="36"/>
      <c r="AZ44" s="34"/>
      <c r="BA44" s="2" t="s">
        <v>213</v>
      </c>
    </row>
    <row r="45" spans="1:60">
      <c r="A45" s="36"/>
      <c r="B45" s="36"/>
      <c r="D45" s="36"/>
      <c r="E45" s="36"/>
      <c r="F45" s="36"/>
      <c r="G45" s="36"/>
      <c r="I45" s="36"/>
      <c r="K45" s="36"/>
      <c r="M45" s="36"/>
      <c r="O45" s="36"/>
      <c r="Q45" s="36"/>
      <c r="S45" s="36"/>
      <c r="U45" s="36"/>
      <c r="W45" s="36"/>
      <c r="Y45" s="36"/>
      <c r="AA45" s="36"/>
      <c r="AB45" s="36"/>
      <c r="AO45" s="53"/>
      <c r="AP45" s="53"/>
      <c r="AQ45" s="124"/>
      <c r="AR45" s="52" t="s">
        <v>128</v>
      </c>
      <c r="AS45" s="52" t="s">
        <v>209</v>
      </c>
      <c r="AT45" s="52" t="s">
        <v>210</v>
      </c>
      <c r="AU45" s="34"/>
      <c r="AV45" s="36"/>
      <c r="AW45" s="34"/>
      <c r="AX45" s="36"/>
      <c r="AY45" s="36"/>
      <c r="AZ45" s="34"/>
      <c r="BA45" s="2" t="s">
        <v>213</v>
      </c>
    </row>
    <row r="46" spans="1:60">
      <c r="A46" s="36"/>
      <c r="B46" s="36"/>
      <c r="D46" s="36"/>
      <c r="E46" s="36"/>
      <c r="F46" s="36"/>
      <c r="G46" s="36"/>
      <c r="I46" s="36"/>
      <c r="K46" s="36"/>
      <c r="M46" s="36"/>
      <c r="O46" s="36"/>
      <c r="Q46" s="36"/>
      <c r="S46" s="36"/>
      <c r="U46" s="36"/>
      <c r="W46" s="36"/>
      <c r="Y46" s="36"/>
      <c r="AA46" s="36"/>
      <c r="AB46" s="36"/>
      <c r="AO46" s="53"/>
      <c r="AP46" s="53"/>
      <c r="AQ46" s="124"/>
      <c r="AR46" s="52" t="s">
        <v>131</v>
      </c>
      <c r="AS46" s="52" t="s">
        <v>131</v>
      </c>
      <c r="AT46" s="52" t="s">
        <v>131</v>
      </c>
      <c r="AU46" s="34"/>
      <c r="AV46" s="36"/>
      <c r="AW46" s="34"/>
      <c r="AX46" s="36"/>
      <c r="AY46" s="36"/>
      <c r="AZ46" s="34"/>
      <c r="BA46" s="2" t="s">
        <v>213</v>
      </c>
    </row>
    <row r="47" spans="1:60">
      <c r="A47" s="36"/>
      <c r="B47" s="36"/>
      <c r="D47" s="36"/>
      <c r="E47" s="36"/>
      <c r="F47" s="36"/>
      <c r="G47" s="36"/>
      <c r="I47" s="36"/>
      <c r="K47" s="36"/>
      <c r="M47" s="36"/>
      <c r="O47" s="36"/>
      <c r="Q47" s="36"/>
      <c r="S47" s="36"/>
      <c r="U47" s="36"/>
      <c r="W47" s="36"/>
      <c r="Y47" s="36"/>
      <c r="AA47" s="36"/>
      <c r="AB47" s="36"/>
      <c r="AO47" s="53"/>
      <c r="AP47" s="53"/>
      <c r="AQ47" s="124"/>
      <c r="AR47" s="52" t="s">
        <v>134</v>
      </c>
      <c r="AS47" s="52" t="s">
        <v>134</v>
      </c>
      <c r="AT47" s="52" t="s">
        <v>134</v>
      </c>
      <c r="AU47" s="34"/>
      <c r="AV47" s="36"/>
      <c r="AW47" s="34"/>
      <c r="AX47" s="36"/>
      <c r="AY47" s="36"/>
      <c r="AZ47" s="34"/>
      <c r="BA47" s="2" t="s">
        <v>213</v>
      </c>
    </row>
    <row r="48" spans="1:60">
      <c r="A48" s="36"/>
      <c r="B48" s="36"/>
      <c r="D48" s="36"/>
      <c r="E48" s="36"/>
      <c r="F48" s="36"/>
      <c r="G48" s="36"/>
      <c r="I48" s="36"/>
      <c r="K48" s="36"/>
      <c r="M48" s="36"/>
      <c r="O48" s="36"/>
      <c r="Q48" s="36"/>
      <c r="S48" s="36"/>
      <c r="U48" s="36"/>
      <c r="W48" s="36"/>
      <c r="Y48" s="36"/>
      <c r="AA48" s="36"/>
      <c r="AB48" s="36"/>
      <c r="AO48" s="53"/>
      <c r="AP48" s="53"/>
      <c r="AQ48" s="124"/>
      <c r="AR48" s="53"/>
      <c r="AS48" s="53"/>
      <c r="AT48" s="53"/>
      <c r="AU48" s="34"/>
      <c r="AV48" s="36"/>
      <c r="AW48" s="34"/>
      <c r="AX48" s="36"/>
      <c r="AY48" s="36"/>
      <c r="AZ48" s="34"/>
      <c r="BA48" s="2" t="s">
        <v>213</v>
      </c>
    </row>
    <row r="49" spans="1:53">
      <c r="A49" s="36"/>
      <c r="B49" s="36"/>
      <c r="D49" s="36"/>
      <c r="E49" s="36"/>
      <c r="F49" s="36"/>
      <c r="G49" s="36"/>
      <c r="I49" s="36"/>
      <c r="K49" s="36"/>
      <c r="M49" s="36"/>
      <c r="O49" s="36"/>
      <c r="Q49" s="36"/>
      <c r="S49" s="36"/>
      <c r="U49" s="36"/>
      <c r="W49" s="36"/>
      <c r="Y49" s="36"/>
      <c r="AA49" s="36"/>
      <c r="AB49" s="36"/>
      <c r="AO49" s="53"/>
      <c r="AP49" s="53"/>
      <c r="AQ49" s="124"/>
      <c r="AR49" s="53"/>
      <c r="AS49" s="53"/>
      <c r="AT49" s="53"/>
      <c r="AU49" s="34"/>
      <c r="AV49" s="36"/>
      <c r="AW49" s="34"/>
      <c r="AX49" s="36"/>
      <c r="AY49" s="36"/>
      <c r="AZ49" s="34"/>
      <c r="BA49" s="2" t="s">
        <v>213</v>
      </c>
    </row>
    <row r="50" spans="1:53">
      <c r="A50" s="36"/>
      <c r="B50" s="36"/>
      <c r="D50" s="36"/>
      <c r="E50" s="36"/>
      <c r="F50" s="36"/>
      <c r="G50" s="36"/>
      <c r="I50" s="36"/>
      <c r="K50" s="36"/>
      <c r="M50" s="36"/>
      <c r="O50" s="36"/>
      <c r="Q50" s="36"/>
      <c r="S50" s="36"/>
      <c r="U50" s="36"/>
      <c r="W50" s="36"/>
      <c r="Y50" s="36"/>
      <c r="AA50" s="36"/>
      <c r="AB50" s="36"/>
      <c r="AO50" s="53"/>
      <c r="AP50" s="53"/>
      <c r="AQ50" s="124"/>
      <c r="AR50" s="53"/>
      <c r="AS50" s="53"/>
      <c r="AT50" s="53"/>
      <c r="AU50" s="34"/>
      <c r="AV50" s="36"/>
      <c r="AW50" s="34"/>
      <c r="AX50" s="36"/>
      <c r="AY50" s="36"/>
      <c r="AZ50" s="34"/>
      <c r="BA50" s="2" t="s">
        <v>213</v>
      </c>
    </row>
    <row r="51" spans="1:53">
      <c r="A51" s="36"/>
      <c r="B51" s="36"/>
      <c r="D51" s="36"/>
      <c r="E51" s="36"/>
      <c r="F51" s="36"/>
      <c r="G51" s="36"/>
      <c r="I51" s="36"/>
      <c r="K51" s="36"/>
      <c r="M51" s="36"/>
      <c r="O51" s="36"/>
      <c r="Q51" s="36"/>
      <c r="S51" s="36"/>
      <c r="U51" s="36"/>
      <c r="W51" s="36"/>
      <c r="Y51" s="36"/>
      <c r="AA51" s="36"/>
      <c r="AB51" s="36"/>
      <c r="AO51" s="53"/>
      <c r="AP51" s="53"/>
      <c r="AQ51" s="124"/>
      <c r="AR51" s="53"/>
      <c r="AS51" s="53"/>
      <c r="AT51" s="53"/>
      <c r="AU51" s="34"/>
      <c r="AV51" s="36"/>
      <c r="AW51" s="34"/>
      <c r="AX51" s="36"/>
      <c r="AY51" s="36"/>
      <c r="AZ51" s="34"/>
      <c r="BA51" s="2" t="s">
        <v>213</v>
      </c>
    </row>
    <row r="52" spans="1:53">
      <c r="A52" s="36"/>
      <c r="B52" s="36"/>
      <c r="D52" s="36"/>
      <c r="E52" s="36"/>
      <c r="F52" s="36"/>
      <c r="G52" s="36"/>
      <c r="I52" s="36"/>
      <c r="K52" s="36"/>
      <c r="M52" s="36"/>
      <c r="O52" s="36"/>
      <c r="Q52" s="36"/>
      <c r="S52" s="36"/>
      <c r="U52" s="36"/>
      <c r="W52" s="36"/>
      <c r="Y52" s="36"/>
      <c r="AA52" s="36"/>
      <c r="AB52" s="36"/>
      <c r="AO52" s="53"/>
      <c r="AP52" s="53"/>
      <c r="AQ52" s="124"/>
      <c r="AR52" s="53"/>
      <c r="AS52" s="53"/>
      <c r="AT52" s="53"/>
      <c r="AU52" s="34"/>
      <c r="AV52" s="36"/>
      <c r="AW52" s="34"/>
      <c r="AX52" s="36"/>
      <c r="AY52" s="36"/>
      <c r="AZ52" s="34"/>
      <c r="BA52" s="2" t="s">
        <v>213</v>
      </c>
    </row>
    <row r="53" spans="1:53">
      <c r="A53" s="36"/>
      <c r="B53" s="36"/>
      <c r="D53" s="36"/>
      <c r="E53" s="36"/>
      <c r="F53" s="36"/>
      <c r="G53" s="36"/>
      <c r="I53" s="36"/>
      <c r="K53" s="36"/>
      <c r="M53" s="36"/>
      <c r="O53" s="36"/>
      <c r="Q53" s="36"/>
      <c r="S53" s="36"/>
      <c r="U53" s="36"/>
      <c r="W53" s="36"/>
      <c r="Y53" s="36"/>
      <c r="AA53" s="36"/>
      <c r="AB53" s="36"/>
      <c r="AO53" s="53"/>
      <c r="AP53" s="53"/>
      <c r="AQ53" s="124"/>
      <c r="AR53" s="53"/>
      <c r="AS53" s="53"/>
      <c r="AT53" s="53"/>
      <c r="AU53" s="34"/>
      <c r="AV53" s="36"/>
      <c r="AW53" s="34"/>
      <c r="AX53" s="36"/>
      <c r="AY53" s="36"/>
      <c r="AZ53" s="34"/>
      <c r="BA53" s="2" t="s">
        <v>213</v>
      </c>
    </row>
    <row r="54" spans="1:53">
      <c r="A54" s="36"/>
      <c r="B54" s="36"/>
      <c r="D54" s="36"/>
      <c r="E54" s="36"/>
      <c r="F54" s="36"/>
      <c r="G54" s="36"/>
      <c r="I54" s="36"/>
      <c r="K54" s="36"/>
      <c r="M54" s="36"/>
      <c r="O54" s="36"/>
      <c r="Q54" s="36"/>
      <c r="S54" s="36"/>
      <c r="U54" s="36"/>
      <c r="W54" s="36"/>
      <c r="Y54" s="36"/>
      <c r="AA54" s="36"/>
      <c r="AB54" s="36"/>
      <c r="AO54" s="53"/>
      <c r="AP54" s="53"/>
      <c r="AQ54" s="124"/>
      <c r="AR54" s="53"/>
      <c r="AS54" s="53"/>
      <c r="AT54" s="53"/>
      <c r="AU54" s="34"/>
      <c r="AV54" s="36"/>
      <c r="AW54" s="34"/>
      <c r="AX54" s="36"/>
      <c r="AY54" s="36"/>
      <c r="AZ54" s="34"/>
      <c r="BA54" s="2" t="s">
        <v>213</v>
      </c>
    </row>
    <row r="55" spans="1:53">
      <c r="A55" s="36"/>
      <c r="B55" s="36"/>
      <c r="D55" s="36"/>
      <c r="E55" s="36"/>
      <c r="F55" s="36"/>
      <c r="G55" s="36"/>
      <c r="I55" s="36"/>
      <c r="K55" s="36"/>
      <c r="M55" s="36"/>
      <c r="O55" s="36"/>
      <c r="Q55" s="36"/>
      <c r="S55" s="36"/>
      <c r="U55" s="36"/>
      <c r="W55" s="36"/>
      <c r="Y55" s="36"/>
      <c r="AA55" s="36"/>
      <c r="AB55" s="36"/>
      <c r="AO55" s="53"/>
      <c r="AP55" s="53"/>
      <c r="AQ55" s="124"/>
      <c r="AR55" s="53"/>
      <c r="AS55" s="53"/>
      <c r="AT55" s="53"/>
      <c r="AU55" s="34"/>
      <c r="AV55" s="36"/>
      <c r="AW55" s="34"/>
      <c r="AX55" s="36"/>
      <c r="AY55" s="36"/>
      <c r="AZ55" s="34"/>
      <c r="BA55" s="2" t="s">
        <v>213</v>
      </c>
    </row>
    <row r="56" spans="1:53">
      <c r="A56" s="36"/>
      <c r="B56" s="36"/>
      <c r="D56" s="36"/>
      <c r="E56" s="36"/>
      <c r="F56" s="36"/>
      <c r="G56" s="36"/>
      <c r="I56" s="36"/>
      <c r="K56" s="36"/>
      <c r="M56" s="36"/>
      <c r="O56" s="36"/>
      <c r="Q56" s="36"/>
      <c r="S56" s="36"/>
      <c r="U56" s="36"/>
      <c r="W56" s="36"/>
      <c r="Y56" s="36"/>
      <c r="AA56" s="36"/>
      <c r="AB56" s="36"/>
      <c r="AO56" s="36"/>
      <c r="AP56" s="36"/>
      <c r="AR56" s="36"/>
      <c r="AS56" s="36"/>
      <c r="AT56" s="36"/>
      <c r="AU56" s="34"/>
      <c r="AV56" s="36"/>
      <c r="AW56" s="34"/>
      <c r="AX56" s="36"/>
      <c r="AY56" s="36"/>
      <c r="AZ56" s="34"/>
      <c r="BA56" s="2" t="s">
        <v>213</v>
      </c>
    </row>
    <row r="57" spans="1:53">
      <c r="A57" s="36"/>
      <c r="B57" s="36"/>
      <c r="D57" s="36"/>
      <c r="E57" s="36"/>
      <c r="F57" s="36"/>
      <c r="G57" s="36"/>
      <c r="I57" s="36"/>
      <c r="K57" s="36"/>
      <c r="M57" s="36"/>
      <c r="O57" s="36"/>
      <c r="Q57" s="36"/>
      <c r="S57" s="36"/>
      <c r="U57" s="36"/>
      <c r="W57" s="36"/>
      <c r="Y57" s="36"/>
      <c r="AA57" s="36"/>
      <c r="AB57" s="36"/>
      <c r="AO57" s="36"/>
      <c r="AP57" s="36"/>
      <c r="AR57" s="36"/>
      <c r="AS57" s="36"/>
      <c r="AT57" s="36"/>
      <c r="AU57" s="34"/>
      <c r="AV57" s="36"/>
      <c r="AW57" s="34"/>
      <c r="AX57" s="36"/>
      <c r="AY57" s="36"/>
      <c r="AZ57" s="34"/>
      <c r="BA57" s="2" t="s">
        <v>213</v>
      </c>
    </row>
    <row r="58" spans="1:53">
      <c r="A58" s="36"/>
      <c r="B58" s="36"/>
      <c r="D58" s="36"/>
      <c r="E58" s="36"/>
      <c r="F58" s="36"/>
      <c r="G58" s="36"/>
      <c r="I58" s="36"/>
      <c r="K58" s="36"/>
      <c r="M58" s="36"/>
      <c r="O58" s="36"/>
      <c r="Q58" s="36"/>
      <c r="S58" s="36"/>
      <c r="U58" s="36"/>
      <c r="W58" s="36"/>
      <c r="Y58" s="36"/>
      <c r="AA58" s="36"/>
      <c r="AB58" s="36"/>
      <c r="AO58" s="36"/>
      <c r="AP58" s="36"/>
      <c r="AR58" s="36"/>
      <c r="AS58" s="36"/>
      <c r="AT58" s="36"/>
      <c r="AU58" s="34"/>
      <c r="AV58" s="36"/>
      <c r="AW58" s="34"/>
      <c r="AX58" s="36"/>
      <c r="AY58" s="36"/>
      <c r="AZ58" s="34"/>
      <c r="BA58" s="2" t="s">
        <v>213</v>
      </c>
    </row>
    <row r="59" spans="1:53">
      <c r="A59" s="36"/>
      <c r="B59" s="36"/>
      <c r="D59" s="36"/>
      <c r="E59" s="36"/>
      <c r="F59" s="36"/>
      <c r="G59" s="36"/>
      <c r="I59" s="36"/>
      <c r="K59" s="36"/>
      <c r="M59" s="36"/>
      <c r="O59" s="36"/>
      <c r="Q59" s="36"/>
      <c r="S59" s="36"/>
      <c r="U59" s="36"/>
      <c r="W59" s="36"/>
      <c r="Y59" s="36"/>
      <c r="AA59" s="36"/>
      <c r="AB59" s="36"/>
      <c r="AO59" s="36"/>
      <c r="AP59" s="36"/>
      <c r="AR59" s="36"/>
      <c r="AS59" s="36"/>
      <c r="AT59" s="36"/>
      <c r="AU59" s="34"/>
      <c r="AV59" s="36"/>
      <c r="AW59" s="34"/>
      <c r="AX59" s="36"/>
      <c r="AY59" s="36"/>
      <c r="AZ59" s="34"/>
      <c r="BA59" s="2" t="s">
        <v>213</v>
      </c>
    </row>
    <row r="60" spans="1:53">
      <c r="A60" s="36"/>
      <c r="B60" s="36"/>
      <c r="D60" s="36"/>
      <c r="E60" s="36"/>
      <c r="F60" s="36"/>
      <c r="G60" s="36"/>
      <c r="I60" s="36"/>
      <c r="K60" s="36"/>
      <c r="M60" s="36"/>
      <c r="O60" s="36"/>
      <c r="Q60" s="36"/>
      <c r="S60" s="36"/>
      <c r="U60" s="36"/>
      <c r="W60" s="36"/>
      <c r="Y60" s="36"/>
      <c r="AA60" s="36"/>
      <c r="AB60" s="36"/>
      <c r="AO60" s="36"/>
      <c r="AP60" s="36"/>
      <c r="AR60" s="36"/>
      <c r="AS60" s="36"/>
      <c r="AT60" s="36"/>
      <c r="AU60" s="34"/>
      <c r="AV60" s="36"/>
      <c r="AW60" s="34"/>
      <c r="AX60" s="36"/>
      <c r="AY60" s="36"/>
      <c r="AZ60" s="34"/>
      <c r="BA60" s="2" t="s">
        <v>213</v>
      </c>
    </row>
    <row r="61" spans="1:53">
      <c r="A61" s="36"/>
      <c r="B61" s="36"/>
      <c r="D61" s="36"/>
      <c r="E61" s="36"/>
      <c r="F61" s="36"/>
      <c r="G61" s="36"/>
      <c r="I61" s="36"/>
      <c r="K61" s="36"/>
      <c r="M61" s="36"/>
      <c r="O61" s="36"/>
      <c r="Q61" s="36"/>
      <c r="S61" s="36"/>
      <c r="U61" s="36"/>
      <c r="W61" s="36"/>
      <c r="Y61" s="36"/>
      <c r="AA61" s="36"/>
      <c r="AB61" s="36"/>
      <c r="AO61" s="36"/>
      <c r="AP61" s="36"/>
      <c r="AR61" s="36"/>
      <c r="AS61" s="36"/>
      <c r="AT61" s="36"/>
      <c r="AU61" s="34"/>
      <c r="AV61" s="36"/>
      <c r="AW61" s="34"/>
      <c r="AX61" s="36"/>
      <c r="AY61" s="36"/>
      <c r="AZ61" s="34"/>
      <c r="BA61" s="2" t="s">
        <v>213</v>
      </c>
    </row>
    <row r="62" spans="1:53">
      <c r="A62" s="36"/>
      <c r="B62" s="36"/>
      <c r="D62" s="36"/>
      <c r="E62" s="36"/>
      <c r="F62" s="36"/>
      <c r="G62" s="36"/>
      <c r="I62" s="36"/>
      <c r="K62" s="36"/>
      <c r="M62" s="36"/>
      <c r="O62" s="36"/>
      <c r="Q62" s="36"/>
      <c r="S62" s="36"/>
      <c r="U62" s="36"/>
      <c r="W62" s="36"/>
      <c r="Y62" s="36"/>
      <c r="AA62" s="36"/>
      <c r="AB62" s="36"/>
      <c r="AO62" s="36"/>
      <c r="AP62" s="36"/>
      <c r="AR62" s="36"/>
      <c r="AS62" s="36"/>
      <c r="AT62" s="36"/>
      <c r="AU62" s="34"/>
      <c r="AV62" s="36"/>
      <c r="AW62" s="34"/>
      <c r="AX62" s="36"/>
      <c r="AY62" s="36"/>
      <c r="AZ62" s="34"/>
      <c r="BA62" s="2" t="s">
        <v>213</v>
      </c>
    </row>
    <row r="63" spans="1:53">
      <c r="A63" s="36"/>
      <c r="B63" s="36"/>
      <c r="D63" s="36"/>
      <c r="E63" s="36"/>
      <c r="F63" s="36"/>
      <c r="G63" s="36"/>
      <c r="I63" s="36"/>
      <c r="K63" s="36"/>
      <c r="M63" s="36"/>
      <c r="O63" s="36"/>
      <c r="Q63" s="36"/>
      <c r="S63" s="36"/>
      <c r="U63" s="36"/>
      <c r="W63" s="36"/>
      <c r="Y63" s="36"/>
      <c r="AA63" s="36"/>
      <c r="AB63" s="36"/>
      <c r="AO63" s="36"/>
      <c r="AP63" s="36"/>
      <c r="AR63" s="36"/>
      <c r="AS63" s="36"/>
      <c r="AT63" s="36"/>
      <c r="AU63" s="34"/>
      <c r="AV63" s="36"/>
      <c r="AW63" s="34"/>
      <c r="AX63" s="36"/>
      <c r="AY63" s="36"/>
      <c r="AZ63" s="34"/>
      <c r="BA63" s="2" t="s">
        <v>213</v>
      </c>
    </row>
    <row r="64" spans="1:53">
      <c r="A64" s="36"/>
      <c r="B64" s="36"/>
      <c r="D64" s="36"/>
      <c r="E64" s="36"/>
      <c r="F64" s="36"/>
      <c r="G64" s="36"/>
      <c r="I64" s="36"/>
      <c r="K64" s="36"/>
      <c r="M64" s="36"/>
      <c r="O64" s="36"/>
      <c r="Q64" s="36"/>
      <c r="S64" s="36"/>
      <c r="U64" s="36"/>
      <c r="W64" s="36"/>
      <c r="Y64" s="36"/>
      <c r="AA64" s="36"/>
      <c r="AB64" s="36"/>
      <c r="AO64" s="36"/>
      <c r="AP64" s="36"/>
      <c r="AR64" s="36"/>
      <c r="AS64" s="36"/>
      <c r="AT64" s="36"/>
      <c r="AU64" s="34"/>
      <c r="AV64" s="36"/>
      <c r="AW64" s="34"/>
      <c r="AX64" s="36"/>
      <c r="AY64" s="36"/>
      <c r="AZ64" s="34"/>
      <c r="BA64" s="2" t="s">
        <v>213</v>
      </c>
    </row>
    <row r="65" spans="1:53">
      <c r="A65" s="36"/>
      <c r="B65" s="36"/>
      <c r="D65" s="36"/>
      <c r="E65" s="36"/>
      <c r="F65" s="36"/>
      <c r="G65" s="36"/>
      <c r="I65" s="36"/>
      <c r="K65" s="36"/>
      <c r="M65" s="36"/>
      <c r="O65" s="36"/>
      <c r="Q65" s="36"/>
      <c r="S65" s="36"/>
      <c r="U65" s="36"/>
      <c r="W65" s="36"/>
      <c r="Y65" s="36"/>
      <c r="AA65" s="36"/>
      <c r="AB65" s="36"/>
      <c r="AO65" s="36"/>
      <c r="AP65" s="36"/>
      <c r="AR65" s="36"/>
      <c r="AS65" s="36"/>
      <c r="AT65" s="36"/>
      <c r="AU65" s="34"/>
      <c r="AV65" s="36"/>
      <c r="AW65" s="34"/>
      <c r="AX65" s="36"/>
      <c r="AY65" s="36"/>
      <c r="AZ65" s="34"/>
      <c r="BA65" s="2" t="s">
        <v>213</v>
      </c>
    </row>
    <row r="66" spans="1:53">
      <c r="A66" s="36"/>
      <c r="B66" s="36"/>
      <c r="D66" s="36"/>
      <c r="E66" s="36"/>
      <c r="F66" s="36"/>
      <c r="G66" s="36"/>
      <c r="I66" s="36"/>
      <c r="K66" s="36"/>
      <c r="M66" s="36"/>
      <c r="O66" s="36"/>
      <c r="Q66" s="36"/>
      <c r="S66" s="36"/>
      <c r="U66" s="36"/>
      <c r="W66" s="36"/>
      <c r="Y66" s="36"/>
      <c r="AA66" s="36"/>
      <c r="AB66" s="36"/>
      <c r="AO66" s="36"/>
      <c r="AP66" s="36"/>
      <c r="AR66" s="36"/>
      <c r="AS66" s="36"/>
      <c r="AT66" s="36"/>
      <c r="AU66" s="34"/>
      <c r="AV66" s="36"/>
      <c r="AW66" s="34"/>
      <c r="AX66" s="36"/>
      <c r="AY66" s="36"/>
      <c r="AZ66" s="34"/>
      <c r="BA66" s="2" t="s">
        <v>213</v>
      </c>
    </row>
    <row r="67" spans="1:53">
      <c r="A67" s="36"/>
      <c r="B67" s="36"/>
      <c r="D67" s="36"/>
      <c r="E67" s="36"/>
      <c r="F67" s="36"/>
      <c r="G67" s="36"/>
      <c r="I67" s="36"/>
      <c r="K67" s="36"/>
      <c r="M67" s="36"/>
      <c r="O67" s="36"/>
      <c r="Q67" s="36"/>
      <c r="S67" s="36"/>
      <c r="U67" s="36"/>
      <c r="W67" s="36"/>
      <c r="Y67" s="36"/>
      <c r="AA67" s="36"/>
      <c r="AB67" s="36"/>
      <c r="AO67" s="36"/>
      <c r="AP67" s="36"/>
      <c r="AR67" s="36"/>
      <c r="AS67" s="36"/>
      <c r="AT67" s="36"/>
      <c r="AU67" s="34"/>
      <c r="AV67" s="36"/>
      <c r="AW67" s="34"/>
      <c r="AX67" s="36"/>
      <c r="AY67" s="36"/>
      <c r="AZ67" s="34"/>
      <c r="BA67" s="2" t="s">
        <v>213</v>
      </c>
    </row>
    <row r="68" spans="1:53">
      <c r="A68" s="36"/>
      <c r="B68" s="36"/>
      <c r="D68" s="36"/>
      <c r="E68" s="36"/>
      <c r="F68" s="36"/>
      <c r="G68" s="36"/>
      <c r="I68" s="36"/>
      <c r="K68" s="36"/>
      <c r="M68" s="36"/>
      <c r="O68" s="36"/>
      <c r="Q68" s="36"/>
      <c r="S68" s="36"/>
      <c r="U68" s="36"/>
      <c r="W68" s="36"/>
      <c r="Y68" s="36"/>
      <c r="AA68" s="36"/>
      <c r="AB68" s="36"/>
      <c r="AO68" s="36"/>
      <c r="AP68" s="36"/>
      <c r="AR68" s="36"/>
      <c r="AS68" s="36"/>
      <c r="AT68" s="36"/>
      <c r="AU68" s="34"/>
      <c r="AV68" s="36"/>
      <c r="AW68" s="34"/>
      <c r="AX68" s="36"/>
      <c r="AY68" s="36"/>
      <c r="AZ68" s="34"/>
      <c r="BA68" s="2" t="s">
        <v>213</v>
      </c>
    </row>
    <row r="69" spans="1:53">
      <c r="A69" s="36"/>
      <c r="B69" s="36"/>
      <c r="D69" s="36"/>
      <c r="E69" s="36"/>
      <c r="F69" s="36"/>
      <c r="G69" s="36"/>
      <c r="I69" s="36"/>
      <c r="K69" s="36"/>
      <c r="M69" s="36"/>
      <c r="O69" s="36"/>
      <c r="Q69" s="36"/>
      <c r="S69" s="36"/>
      <c r="U69" s="36"/>
      <c r="W69" s="36"/>
      <c r="Y69" s="36"/>
      <c r="AA69" s="36"/>
      <c r="AB69" s="36"/>
      <c r="AO69" s="36"/>
      <c r="AP69" s="36"/>
      <c r="AR69" s="36"/>
      <c r="AS69" s="36"/>
      <c r="AT69" s="36"/>
      <c r="AU69" s="34"/>
      <c r="AV69" s="36"/>
      <c r="AW69" s="34"/>
      <c r="AX69" s="36"/>
      <c r="AY69" s="36"/>
      <c r="AZ69" s="34"/>
      <c r="BA69" s="2" t="s">
        <v>213</v>
      </c>
    </row>
    <row r="70" spans="1:53">
      <c r="A70" s="36"/>
      <c r="B70" s="36"/>
      <c r="D70" s="36"/>
      <c r="E70" s="36"/>
      <c r="F70" s="36"/>
      <c r="G70" s="36"/>
      <c r="I70" s="36"/>
      <c r="K70" s="36"/>
      <c r="M70" s="36"/>
      <c r="O70" s="36"/>
      <c r="Q70" s="36"/>
      <c r="S70" s="36"/>
      <c r="U70" s="36"/>
      <c r="W70" s="36"/>
      <c r="Y70" s="36"/>
      <c r="AA70" s="36"/>
      <c r="AB70" s="36"/>
      <c r="AO70" s="36"/>
      <c r="AP70" s="36"/>
      <c r="AR70" s="36"/>
      <c r="AS70" s="36"/>
      <c r="AT70" s="36"/>
      <c r="AU70" s="34"/>
      <c r="AV70" s="36"/>
      <c r="AW70" s="34"/>
      <c r="AX70" s="36"/>
      <c r="AY70" s="36"/>
      <c r="AZ70" s="34"/>
      <c r="BA70" s="2" t="s">
        <v>213</v>
      </c>
    </row>
    <row r="71" spans="1:53">
      <c r="A71" s="36"/>
      <c r="B71" s="36"/>
      <c r="D71" s="36"/>
      <c r="E71" s="36"/>
      <c r="F71" s="36"/>
      <c r="G71" s="36"/>
      <c r="I71" s="36"/>
      <c r="K71" s="36"/>
      <c r="M71" s="36"/>
      <c r="O71" s="36"/>
      <c r="Q71" s="36"/>
      <c r="S71" s="36"/>
      <c r="U71" s="36"/>
      <c r="W71" s="36"/>
      <c r="Y71" s="36"/>
      <c r="AA71" s="36"/>
      <c r="AB71" s="36"/>
      <c r="AO71" s="36"/>
      <c r="AP71" s="36"/>
      <c r="AR71" s="36"/>
      <c r="AS71" s="36"/>
      <c r="AT71" s="36"/>
      <c r="AU71" s="34"/>
      <c r="AV71" s="36"/>
      <c r="AW71" s="34"/>
      <c r="AX71" s="36"/>
      <c r="AY71" s="36"/>
      <c r="AZ71" s="34"/>
      <c r="BA71" s="2" t="s">
        <v>213</v>
      </c>
    </row>
    <row r="72" spans="1:53">
      <c r="A72" s="36"/>
      <c r="B72" s="36"/>
      <c r="D72" s="36"/>
      <c r="E72" s="36"/>
      <c r="F72" s="36"/>
      <c r="G72" s="36"/>
      <c r="I72" s="36"/>
      <c r="K72" s="36"/>
      <c r="M72" s="36"/>
      <c r="O72" s="36"/>
      <c r="Q72" s="36"/>
      <c r="S72" s="36"/>
      <c r="U72" s="36"/>
      <c r="W72" s="36"/>
      <c r="Y72" s="36"/>
      <c r="AA72" s="36"/>
      <c r="AB72" s="36"/>
      <c r="AO72" s="36"/>
      <c r="AP72" s="36"/>
      <c r="AR72" s="36"/>
      <c r="AS72" s="36"/>
      <c r="AT72" s="36"/>
      <c r="AU72" s="34"/>
      <c r="AV72" s="36"/>
      <c r="AW72" s="34"/>
      <c r="AX72" s="36"/>
      <c r="AY72" s="36"/>
      <c r="AZ72" s="34"/>
      <c r="BA72" s="2" t="s">
        <v>213</v>
      </c>
    </row>
    <row r="73" spans="1:53">
      <c r="A73" s="36"/>
      <c r="B73" s="36"/>
      <c r="D73" s="36"/>
      <c r="E73" s="36"/>
      <c r="F73" s="36"/>
      <c r="G73" s="36"/>
      <c r="I73" s="36"/>
      <c r="K73" s="36"/>
      <c r="M73" s="36"/>
      <c r="O73" s="36"/>
      <c r="Q73" s="36"/>
      <c r="S73" s="36"/>
      <c r="U73" s="36"/>
      <c r="W73" s="36"/>
      <c r="Y73" s="36"/>
      <c r="AA73" s="36"/>
      <c r="AB73" s="36"/>
      <c r="AO73" s="36"/>
      <c r="AP73" s="36"/>
      <c r="AR73" s="36"/>
      <c r="AS73" s="36"/>
      <c r="AT73" s="36"/>
      <c r="AU73" s="34"/>
      <c r="AV73" s="36"/>
      <c r="AW73" s="34"/>
      <c r="AX73" s="36"/>
      <c r="AY73" s="36"/>
      <c r="AZ73" s="34"/>
      <c r="BA73" s="2" t="s">
        <v>213</v>
      </c>
    </row>
    <row r="74" spans="1:53">
      <c r="A74" s="36"/>
      <c r="B74" s="36"/>
      <c r="D74" s="36"/>
      <c r="E74" s="36"/>
      <c r="F74" s="36"/>
      <c r="G74" s="36"/>
      <c r="I74" s="36"/>
      <c r="K74" s="36"/>
      <c r="M74" s="36"/>
      <c r="O74" s="36"/>
      <c r="Q74" s="36"/>
      <c r="S74" s="36"/>
      <c r="U74" s="36"/>
      <c r="W74" s="36"/>
      <c r="Y74" s="36"/>
      <c r="AA74" s="36"/>
      <c r="AB74" s="36"/>
      <c r="AO74" s="36"/>
      <c r="AP74" s="36"/>
      <c r="AR74" s="36"/>
      <c r="AS74" s="36"/>
      <c r="AT74" s="36"/>
      <c r="AU74" s="34"/>
      <c r="AV74" s="36"/>
      <c r="AW74" s="34"/>
      <c r="AX74" s="36"/>
      <c r="AY74" s="36"/>
      <c r="AZ74" s="34"/>
      <c r="BA74" s="2" t="s">
        <v>213</v>
      </c>
    </row>
    <row r="75" spans="1:53">
      <c r="A75" s="36"/>
      <c r="B75" s="36"/>
      <c r="D75" s="36"/>
      <c r="E75" s="36"/>
      <c r="F75" s="36"/>
      <c r="G75" s="36"/>
      <c r="I75" s="36"/>
      <c r="K75" s="36"/>
      <c r="M75" s="36"/>
      <c r="O75" s="36"/>
      <c r="Q75" s="36"/>
      <c r="S75" s="36"/>
      <c r="U75" s="36"/>
      <c r="W75" s="36"/>
      <c r="Y75" s="36"/>
      <c r="AA75" s="36"/>
      <c r="AB75" s="36"/>
      <c r="AO75" s="36"/>
      <c r="AP75" s="36"/>
      <c r="AR75" s="36"/>
      <c r="AS75" s="36"/>
      <c r="AT75" s="36"/>
      <c r="AU75" s="34"/>
      <c r="AV75" s="36"/>
      <c r="AW75" s="34"/>
      <c r="AX75" s="36"/>
      <c r="AY75" s="36"/>
      <c r="AZ75" s="34"/>
      <c r="BA75" s="2" t="s">
        <v>213</v>
      </c>
    </row>
    <row r="76" spans="1:53">
      <c r="A76" s="36"/>
      <c r="B76" s="36"/>
      <c r="D76" s="36"/>
      <c r="E76" s="36"/>
      <c r="F76" s="36"/>
      <c r="G76" s="36"/>
      <c r="I76" s="36"/>
      <c r="K76" s="36"/>
      <c r="M76" s="36"/>
      <c r="O76" s="36"/>
      <c r="Q76" s="36"/>
      <c r="S76" s="36"/>
      <c r="U76" s="36"/>
      <c r="W76" s="36"/>
      <c r="Y76" s="36"/>
      <c r="AA76" s="36"/>
      <c r="AB76" s="36"/>
      <c r="AO76" s="36"/>
      <c r="AP76" s="36"/>
      <c r="AR76" s="36"/>
      <c r="AS76" s="36"/>
      <c r="AT76" s="36"/>
      <c r="AU76" s="34"/>
      <c r="AV76" s="36"/>
      <c r="AW76" s="34"/>
      <c r="AX76" s="36"/>
      <c r="AY76" s="36"/>
      <c r="AZ76" s="34"/>
      <c r="BA76" s="2" t="s">
        <v>213</v>
      </c>
    </row>
    <row r="77" spans="1:53">
      <c r="A77" s="36"/>
      <c r="B77" s="36"/>
      <c r="D77" s="36"/>
      <c r="E77" s="36"/>
      <c r="F77" s="36"/>
      <c r="G77" s="36"/>
      <c r="I77" s="36"/>
      <c r="K77" s="36"/>
      <c r="M77" s="36"/>
      <c r="O77" s="36"/>
      <c r="Q77" s="36"/>
      <c r="S77" s="36"/>
      <c r="U77" s="36"/>
      <c r="W77" s="36"/>
      <c r="Y77" s="36"/>
      <c r="AA77" s="36"/>
      <c r="AB77" s="36"/>
      <c r="AO77" s="36"/>
      <c r="AP77" s="36"/>
      <c r="AR77" s="36"/>
      <c r="AS77" s="36"/>
      <c r="AT77" s="36"/>
      <c r="AU77" s="34"/>
      <c r="AV77" s="36"/>
      <c r="AW77" s="34"/>
      <c r="AX77" s="36"/>
      <c r="AY77" s="36"/>
      <c r="AZ77" s="34"/>
      <c r="BA77" s="2" t="s">
        <v>213</v>
      </c>
    </row>
    <row r="78" spans="1:53">
      <c r="A78" s="36"/>
      <c r="B78" s="36"/>
      <c r="D78" s="36"/>
      <c r="E78" s="36"/>
      <c r="F78" s="36"/>
      <c r="G78" s="36"/>
      <c r="I78" s="36"/>
      <c r="K78" s="36"/>
      <c r="M78" s="36"/>
      <c r="O78" s="36"/>
      <c r="Q78" s="36"/>
      <c r="S78" s="36"/>
      <c r="U78" s="36"/>
      <c r="W78" s="36"/>
      <c r="Y78" s="36"/>
      <c r="AA78" s="36"/>
      <c r="AB78" s="36"/>
      <c r="AO78" s="36"/>
      <c r="AP78" s="36"/>
      <c r="AR78" s="36"/>
      <c r="AS78" s="36"/>
      <c r="AT78" s="36"/>
      <c r="AU78" s="34"/>
      <c r="AV78" s="36"/>
      <c r="AW78" s="34"/>
      <c r="AX78" s="36"/>
      <c r="AY78" s="36"/>
      <c r="AZ78" s="34"/>
      <c r="BA78" s="2" t="s">
        <v>213</v>
      </c>
    </row>
    <row r="79" spans="1:53">
      <c r="A79" s="36"/>
      <c r="B79" s="36"/>
      <c r="D79" s="36"/>
      <c r="E79" s="36"/>
      <c r="F79" s="36"/>
      <c r="G79" s="36"/>
      <c r="I79" s="36"/>
      <c r="K79" s="36"/>
      <c r="M79" s="36"/>
      <c r="O79" s="36"/>
      <c r="Q79" s="36"/>
      <c r="S79" s="36"/>
      <c r="U79" s="36"/>
      <c r="W79" s="36"/>
      <c r="Y79" s="36"/>
      <c r="AA79" s="36"/>
      <c r="AB79" s="36"/>
      <c r="AO79" s="36"/>
      <c r="AP79" s="36"/>
      <c r="AR79" s="36"/>
      <c r="AS79" s="36"/>
      <c r="AT79" s="36"/>
      <c r="AU79" s="34"/>
      <c r="AV79" s="36"/>
      <c r="AW79" s="34"/>
      <c r="AX79" s="36"/>
      <c r="AY79" s="36"/>
      <c r="AZ79" s="34"/>
      <c r="BA79" s="2" t="s">
        <v>213</v>
      </c>
    </row>
    <row r="80" spans="1:53">
      <c r="A80" s="36"/>
      <c r="B80" s="36"/>
      <c r="D80" s="36"/>
      <c r="E80" s="36"/>
      <c r="F80" s="36"/>
      <c r="G80" s="36"/>
      <c r="I80" s="36"/>
      <c r="K80" s="36"/>
      <c r="M80" s="36"/>
      <c r="O80" s="36"/>
      <c r="Q80" s="36"/>
      <c r="S80" s="36"/>
      <c r="U80" s="36"/>
      <c r="W80" s="36"/>
      <c r="Y80" s="36"/>
      <c r="AA80" s="36"/>
      <c r="AB80" s="36"/>
      <c r="AO80" s="36"/>
      <c r="AP80" s="36"/>
      <c r="AR80" s="36"/>
      <c r="AS80" s="36"/>
      <c r="AT80" s="36"/>
      <c r="AU80" s="34"/>
      <c r="AV80" s="36"/>
      <c r="AW80" s="34"/>
      <c r="AX80" s="36"/>
      <c r="AY80" s="36"/>
      <c r="AZ80" s="34"/>
      <c r="BA80" s="2" t="s">
        <v>213</v>
      </c>
    </row>
    <row r="81" spans="1:53">
      <c r="A81" s="36"/>
      <c r="B81" s="36"/>
      <c r="D81" s="36"/>
      <c r="E81" s="36"/>
      <c r="F81" s="36"/>
      <c r="G81" s="36"/>
      <c r="I81" s="36"/>
      <c r="K81" s="36"/>
      <c r="M81" s="36"/>
      <c r="O81" s="36"/>
      <c r="Q81" s="36"/>
      <c r="S81" s="36"/>
      <c r="U81" s="36"/>
      <c r="W81" s="36"/>
      <c r="Y81" s="36"/>
      <c r="AA81" s="36"/>
      <c r="AB81" s="36"/>
      <c r="AO81" s="36"/>
      <c r="AP81" s="36"/>
      <c r="AR81" s="36"/>
      <c r="AS81" s="36"/>
      <c r="AT81" s="36"/>
      <c r="AU81" s="34"/>
      <c r="AV81" s="36"/>
      <c r="AW81" s="34"/>
      <c r="AX81" s="36"/>
      <c r="AY81" s="36"/>
      <c r="AZ81" s="34"/>
      <c r="BA81" s="2" t="s">
        <v>213</v>
      </c>
    </row>
    <row r="82" spans="1:53">
      <c r="A82" s="36"/>
      <c r="B82" s="36"/>
      <c r="D82" s="36"/>
      <c r="E82" s="36"/>
      <c r="F82" s="36"/>
      <c r="G82" s="36"/>
      <c r="I82" s="36"/>
      <c r="K82" s="36"/>
      <c r="M82" s="36"/>
      <c r="O82" s="36"/>
      <c r="Q82" s="36"/>
      <c r="S82" s="36"/>
      <c r="U82" s="36"/>
      <c r="W82" s="36"/>
      <c r="Y82" s="36"/>
      <c r="AA82" s="36"/>
      <c r="AB82" s="36"/>
      <c r="AO82" s="36"/>
      <c r="AP82" s="36"/>
      <c r="AR82" s="36"/>
      <c r="AS82" s="36"/>
      <c r="AT82" s="36"/>
      <c r="AU82" s="34"/>
      <c r="AV82" s="36"/>
      <c r="AW82" s="34"/>
      <c r="AX82" s="36"/>
      <c r="AY82" s="36"/>
      <c r="AZ82" s="34"/>
      <c r="BA82" s="2" t="s">
        <v>213</v>
      </c>
    </row>
    <row r="83" spans="1:53">
      <c r="A83" s="36"/>
      <c r="B83" s="36"/>
      <c r="D83" s="36"/>
      <c r="E83" s="36"/>
      <c r="F83" s="36"/>
      <c r="G83" s="36"/>
      <c r="I83" s="36"/>
      <c r="K83" s="36"/>
      <c r="M83" s="36"/>
      <c r="O83" s="36"/>
      <c r="Q83" s="36"/>
      <c r="S83" s="36"/>
      <c r="U83" s="36"/>
      <c r="W83" s="36"/>
      <c r="Y83" s="36"/>
      <c r="AA83" s="36"/>
      <c r="AB83" s="36"/>
      <c r="AO83" s="36"/>
      <c r="AP83" s="36"/>
      <c r="AR83" s="36"/>
      <c r="AS83" s="36"/>
      <c r="AT83" s="36"/>
      <c r="AU83" s="34"/>
      <c r="AV83" s="36"/>
      <c r="AW83" s="34"/>
      <c r="AX83" s="36"/>
      <c r="AY83" s="36"/>
      <c r="AZ83" s="34"/>
      <c r="BA83" s="2" t="s">
        <v>213</v>
      </c>
    </row>
    <row r="84" spans="1:53">
      <c r="A84" s="36"/>
      <c r="B84" s="36"/>
      <c r="D84" s="36"/>
      <c r="E84" s="36"/>
      <c r="F84" s="36"/>
      <c r="G84" s="36"/>
      <c r="I84" s="36"/>
      <c r="K84" s="36"/>
      <c r="M84" s="36"/>
      <c r="O84" s="36"/>
      <c r="Q84" s="36"/>
      <c r="S84" s="36"/>
      <c r="U84" s="36"/>
      <c r="W84" s="36"/>
      <c r="Y84" s="36"/>
      <c r="AA84" s="36"/>
      <c r="AB84" s="36"/>
      <c r="AO84" s="36"/>
      <c r="AP84" s="36"/>
      <c r="AR84" s="36"/>
      <c r="AS84" s="36"/>
      <c r="AT84" s="36"/>
      <c r="AU84" s="34"/>
      <c r="AV84" s="36"/>
      <c r="AW84" s="34"/>
      <c r="AX84" s="36"/>
      <c r="AY84" s="36"/>
      <c r="AZ84" s="34"/>
      <c r="BA84" s="2" t="s">
        <v>213</v>
      </c>
    </row>
    <row r="85" spans="1:53">
      <c r="A85" s="36"/>
      <c r="B85" s="36"/>
      <c r="D85" s="36"/>
      <c r="E85" s="36"/>
      <c r="F85" s="36"/>
      <c r="G85" s="36"/>
      <c r="I85" s="36"/>
      <c r="K85" s="36"/>
      <c r="M85" s="36"/>
      <c r="O85" s="36"/>
      <c r="Q85" s="36"/>
      <c r="S85" s="36"/>
      <c r="U85" s="36"/>
      <c r="W85" s="36"/>
      <c r="Y85" s="36"/>
      <c r="AA85" s="36"/>
      <c r="AB85" s="36"/>
      <c r="AO85" s="36"/>
      <c r="AP85" s="36"/>
      <c r="AR85" s="36"/>
      <c r="AS85" s="36"/>
      <c r="AT85" s="36"/>
      <c r="AU85" s="34"/>
      <c r="AV85" s="36"/>
      <c r="AW85" s="34"/>
      <c r="AX85" s="36"/>
      <c r="AY85" s="36"/>
      <c r="AZ85" s="34"/>
      <c r="BA85" s="2" t="s">
        <v>213</v>
      </c>
    </row>
    <row r="86" spans="1:53">
      <c r="A86" s="36"/>
      <c r="B86" s="36"/>
      <c r="D86" s="36"/>
      <c r="E86" s="36"/>
      <c r="F86" s="36"/>
      <c r="G86" s="36"/>
      <c r="I86" s="36"/>
      <c r="K86" s="36"/>
      <c r="M86" s="36"/>
      <c r="O86" s="36"/>
      <c r="Q86" s="36"/>
      <c r="S86" s="36"/>
      <c r="U86" s="36"/>
      <c r="W86" s="36"/>
      <c r="Y86" s="36"/>
      <c r="AA86" s="36"/>
      <c r="AB86" s="36"/>
      <c r="AO86" s="36"/>
      <c r="AP86" s="36"/>
      <c r="AR86" s="36"/>
      <c r="AS86" s="36"/>
      <c r="AT86" s="36"/>
      <c r="AU86" s="34"/>
      <c r="AV86" s="36"/>
      <c r="AW86" s="34"/>
      <c r="AX86" s="36"/>
      <c r="AY86" s="36"/>
      <c r="AZ86" s="34"/>
      <c r="BA86" s="2" t="s">
        <v>213</v>
      </c>
    </row>
    <row r="87" spans="1:53">
      <c r="A87" s="36"/>
      <c r="B87" s="36"/>
      <c r="D87" s="36"/>
      <c r="E87" s="36"/>
      <c r="F87" s="36"/>
      <c r="G87" s="36"/>
      <c r="I87" s="36"/>
      <c r="K87" s="36"/>
      <c r="M87" s="36"/>
      <c r="O87" s="36"/>
      <c r="Q87" s="36"/>
      <c r="S87" s="36"/>
      <c r="U87" s="36"/>
      <c r="W87" s="36"/>
      <c r="Y87" s="36"/>
      <c r="AA87" s="36"/>
      <c r="AB87" s="36"/>
      <c r="AO87" s="36"/>
      <c r="AP87" s="36"/>
      <c r="AR87" s="36"/>
      <c r="AS87" s="36"/>
      <c r="AT87" s="36"/>
      <c r="AU87" s="34"/>
      <c r="AV87" s="36"/>
      <c r="AW87" s="34"/>
      <c r="AX87" s="36"/>
      <c r="AY87" s="36"/>
      <c r="AZ87" s="34"/>
      <c r="BA87" s="2" t="s">
        <v>213</v>
      </c>
    </row>
    <row r="88" spans="1:53">
      <c r="A88" s="36"/>
      <c r="B88" s="36"/>
      <c r="D88" s="36"/>
      <c r="E88" s="36"/>
      <c r="F88" s="36"/>
      <c r="G88" s="36"/>
      <c r="I88" s="36"/>
      <c r="K88" s="36"/>
      <c r="M88" s="36"/>
      <c r="O88" s="36"/>
      <c r="Q88" s="36"/>
      <c r="S88" s="36"/>
      <c r="U88" s="36"/>
      <c r="W88" s="36"/>
      <c r="Y88" s="36"/>
      <c r="AA88" s="36"/>
      <c r="AB88" s="36"/>
      <c r="AO88" s="36"/>
      <c r="AP88" s="36"/>
      <c r="AR88" s="36"/>
      <c r="AS88" s="36"/>
      <c r="AT88" s="36"/>
      <c r="AU88" s="34"/>
      <c r="AV88" s="36"/>
      <c r="AW88" s="34"/>
      <c r="AX88" s="36"/>
      <c r="AY88" s="36"/>
      <c r="AZ88" s="34"/>
      <c r="BA88" s="2" t="s">
        <v>213</v>
      </c>
    </row>
    <row r="89" spans="1:53">
      <c r="A89" s="36"/>
      <c r="B89" s="36"/>
      <c r="D89" s="36"/>
      <c r="E89" s="36"/>
      <c r="F89" s="36"/>
      <c r="G89" s="36"/>
      <c r="I89" s="36"/>
      <c r="K89" s="36"/>
      <c r="M89" s="36"/>
      <c r="O89" s="36"/>
      <c r="Q89" s="36"/>
      <c r="S89" s="36"/>
      <c r="U89" s="36"/>
      <c r="W89" s="36"/>
      <c r="Y89" s="36"/>
      <c r="AA89" s="36"/>
      <c r="AB89" s="36"/>
      <c r="AO89" s="36"/>
      <c r="AP89" s="36"/>
      <c r="AR89" s="36"/>
      <c r="AS89" s="36"/>
      <c r="AT89" s="36"/>
      <c r="AU89" s="34"/>
      <c r="AV89" s="36"/>
      <c r="AW89" s="34"/>
      <c r="AX89" s="36"/>
      <c r="AY89" s="36"/>
      <c r="AZ89" s="34"/>
      <c r="BA89" s="2" t="s">
        <v>213</v>
      </c>
    </row>
    <row r="90" spans="1:53">
      <c r="A90" s="36"/>
      <c r="B90" s="36"/>
      <c r="D90" s="36"/>
      <c r="E90" s="36"/>
      <c r="F90" s="36"/>
      <c r="G90" s="36"/>
      <c r="I90" s="36"/>
      <c r="K90" s="36"/>
      <c r="M90" s="36"/>
      <c r="O90" s="36"/>
      <c r="Q90" s="36"/>
      <c r="S90" s="36"/>
      <c r="U90" s="36"/>
      <c r="W90" s="36"/>
      <c r="Y90" s="36"/>
      <c r="AA90" s="36"/>
      <c r="AB90" s="36"/>
      <c r="AO90" s="36"/>
      <c r="AP90" s="36"/>
      <c r="AR90" s="36"/>
      <c r="AS90" s="36"/>
      <c r="AT90" s="36"/>
      <c r="AU90" s="34"/>
      <c r="AV90" s="36"/>
      <c r="AW90" s="34"/>
      <c r="AX90" s="36"/>
      <c r="AY90" s="36"/>
      <c r="AZ90" s="34"/>
      <c r="BA90" s="2" t="s">
        <v>213</v>
      </c>
    </row>
    <row r="91" spans="1:53">
      <c r="A91" s="36"/>
      <c r="B91" s="36"/>
      <c r="D91" s="36"/>
      <c r="E91" s="36"/>
      <c r="F91" s="36"/>
      <c r="G91" s="36"/>
      <c r="I91" s="36"/>
      <c r="K91" s="36"/>
      <c r="M91" s="36"/>
      <c r="O91" s="36"/>
      <c r="Q91" s="36"/>
      <c r="S91" s="36"/>
      <c r="U91" s="36"/>
      <c r="W91" s="36"/>
      <c r="Y91" s="36"/>
      <c r="AA91" s="36"/>
      <c r="AB91" s="36"/>
      <c r="AO91" s="36"/>
      <c r="AP91" s="36"/>
      <c r="AR91" s="36"/>
      <c r="AS91" s="36"/>
      <c r="AT91" s="36"/>
      <c r="AU91" s="34"/>
      <c r="AV91" s="36"/>
      <c r="AW91" s="34"/>
      <c r="AX91" s="36"/>
      <c r="AY91" s="36"/>
      <c r="AZ91" s="34"/>
      <c r="BA91" s="2" t="s">
        <v>213</v>
      </c>
    </row>
    <row r="92" spans="1:53">
      <c r="A92" s="36"/>
      <c r="B92" s="36"/>
      <c r="D92" s="36"/>
      <c r="E92" s="36"/>
      <c r="F92" s="36"/>
      <c r="G92" s="36"/>
      <c r="I92" s="36"/>
      <c r="K92" s="36"/>
      <c r="M92" s="36"/>
      <c r="O92" s="36"/>
      <c r="Q92" s="36"/>
      <c r="S92" s="36"/>
      <c r="U92" s="36"/>
      <c r="W92" s="36"/>
      <c r="Y92" s="36"/>
      <c r="AA92" s="36"/>
      <c r="AB92" s="36"/>
      <c r="AO92" s="36"/>
      <c r="AP92" s="36"/>
      <c r="AR92" s="36"/>
      <c r="AS92" s="36"/>
      <c r="AT92" s="36"/>
      <c r="AU92" s="34"/>
      <c r="AV92" s="36"/>
      <c r="AW92" s="34"/>
      <c r="AX92" s="36"/>
      <c r="AY92" s="36"/>
      <c r="AZ92" s="34"/>
      <c r="BA92" s="2" t="s">
        <v>213</v>
      </c>
    </row>
    <row r="93" spans="1:53">
      <c r="A93" s="36"/>
      <c r="B93" s="36"/>
      <c r="D93" s="36"/>
      <c r="E93" s="36"/>
      <c r="F93" s="36"/>
      <c r="G93" s="36"/>
      <c r="I93" s="36"/>
      <c r="K93" s="36"/>
      <c r="M93" s="36"/>
      <c r="O93" s="36"/>
      <c r="Q93" s="36"/>
      <c r="S93" s="36"/>
      <c r="U93" s="36"/>
      <c r="W93" s="36"/>
      <c r="Y93" s="36"/>
      <c r="AA93" s="36"/>
      <c r="AB93" s="36"/>
      <c r="AO93" s="36"/>
      <c r="AP93" s="36"/>
      <c r="AR93" s="36"/>
      <c r="AS93" s="36"/>
      <c r="AT93" s="36"/>
      <c r="AU93" s="34"/>
      <c r="AV93" s="36"/>
      <c r="AW93" s="34"/>
      <c r="AX93" s="36"/>
      <c r="AY93" s="36"/>
      <c r="AZ93" s="34"/>
      <c r="BA93" s="2" t="s">
        <v>213</v>
      </c>
    </row>
    <row r="94" spans="1:53">
      <c r="A94" s="36"/>
      <c r="B94" s="36"/>
      <c r="D94" s="36"/>
      <c r="E94" s="36"/>
      <c r="F94" s="36"/>
      <c r="G94" s="36"/>
      <c r="I94" s="36"/>
      <c r="K94" s="36"/>
      <c r="M94" s="36"/>
      <c r="O94" s="36"/>
      <c r="Q94" s="36"/>
      <c r="S94" s="36"/>
      <c r="U94" s="36"/>
      <c r="W94" s="36"/>
      <c r="Y94" s="36"/>
      <c r="AA94" s="36"/>
      <c r="AB94" s="36"/>
      <c r="AO94" s="36"/>
      <c r="AP94" s="36"/>
      <c r="AR94" s="36"/>
      <c r="AS94" s="36"/>
      <c r="AT94" s="36"/>
      <c r="AU94" s="34"/>
      <c r="AV94" s="36"/>
      <c r="AW94" s="34"/>
      <c r="AX94" s="36"/>
      <c r="AY94" s="36"/>
      <c r="AZ94" s="34"/>
      <c r="BA94" s="2" t="s">
        <v>213</v>
      </c>
    </row>
    <row r="95" spans="1:53">
      <c r="A95" s="36"/>
      <c r="B95" s="36"/>
      <c r="D95" s="36"/>
      <c r="E95" s="36"/>
      <c r="F95" s="36"/>
      <c r="G95" s="36"/>
      <c r="I95" s="36"/>
      <c r="K95" s="36"/>
      <c r="M95" s="36"/>
      <c r="O95" s="36"/>
      <c r="Q95" s="36"/>
      <c r="S95" s="36"/>
      <c r="U95" s="36"/>
      <c r="W95" s="36"/>
      <c r="Y95" s="36"/>
      <c r="AA95" s="36"/>
      <c r="AB95" s="36"/>
      <c r="AO95" s="36"/>
      <c r="AP95" s="36"/>
      <c r="AR95" s="36"/>
      <c r="AS95" s="36"/>
      <c r="AT95" s="36"/>
      <c r="AU95" s="34"/>
      <c r="AV95" s="36"/>
      <c r="AW95" s="34"/>
      <c r="AX95" s="36"/>
      <c r="AY95" s="36"/>
      <c r="AZ95" s="34"/>
      <c r="BA95" s="2" t="s">
        <v>213</v>
      </c>
    </row>
    <row r="96" spans="1:53">
      <c r="A96" s="36"/>
      <c r="B96" s="36"/>
      <c r="D96" s="36"/>
      <c r="E96" s="36"/>
      <c r="F96" s="36"/>
      <c r="G96" s="36"/>
      <c r="I96" s="36"/>
      <c r="K96" s="36"/>
      <c r="M96" s="36"/>
      <c r="O96" s="36"/>
      <c r="Q96" s="36"/>
      <c r="S96" s="36"/>
      <c r="U96" s="36"/>
      <c r="W96" s="36"/>
      <c r="Y96" s="36"/>
      <c r="AA96" s="36"/>
      <c r="AB96" s="36"/>
      <c r="AO96" s="36"/>
      <c r="AP96" s="36"/>
      <c r="AR96" s="36"/>
      <c r="AS96" s="36"/>
      <c r="AT96" s="36"/>
      <c r="AU96" s="34"/>
      <c r="AV96" s="36"/>
      <c r="AW96" s="34"/>
      <c r="AX96" s="36"/>
      <c r="AY96" s="36"/>
      <c r="AZ96" s="34"/>
      <c r="BA96" s="2" t="s">
        <v>213</v>
      </c>
    </row>
    <row r="97" spans="1:53">
      <c r="A97" s="36"/>
      <c r="B97" s="36"/>
      <c r="D97" s="36"/>
      <c r="E97" s="36"/>
      <c r="F97" s="36"/>
      <c r="G97" s="36"/>
      <c r="I97" s="36"/>
      <c r="K97" s="36"/>
      <c r="M97" s="36"/>
      <c r="O97" s="36"/>
      <c r="Q97" s="36"/>
      <c r="S97" s="36"/>
      <c r="U97" s="36"/>
      <c r="W97" s="36"/>
      <c r="Y97" s="36"/>
      <c r="AA97" s="36"/>
      <c r="AB97" s="36"/>
      <c r="AO97" s="36"/>
      <c r="AP97" s="36"/>
      <c r="AR97" s="36"/>
      <c r="AS97" s="36"/>
      <c r="AT97" s="36"/>
      <c r="AU97" s="34"/>
      <c r="AV97" s="36"/>
      <c r="AW97" s="34"/>
      <c r="AX97" s="36"/>
      <c r="AY97" s="36"/>
      <c r="AZ97" s="34"/>
      <c r="BA97" s="2" t="s">
        <v>213</v>
      </c>
    </row>
    <row r="98" spans="1:53">
      <c r="A98" s="36"/>
      <c r="B98" s="36"/>
      <c r="D98" s="36"/>
      <c r="E98" s="36"/>
      <c r="F98" s="36"/>
      <c r="G98" s="36"/>
      <c r="I98" s="36"/>
      <c r="K98" s="36"/>
      <c r="M98" s="36"/>
      <c r="O98" s="36"/>
      <c r="Q98" s="36"/>
      <c r="S98" s="36"/>
      <c r="U98" s="36"/>
      <c r="W98" s="36"/>
      <c r="Y98" s="36"/>
      <c r="AA98" s="36"/>
      <c r="AB98" s="36"/>
      <c r="AO98" s="36"/>
      <c r="AP98" s="36"/>
      <c r="AR98" s="36"/>
      <c r="AS98" s="36"/>
      <c r="AT98" s="36"/>
      <c r="AU98" s="34"/>
      <c r="AV98" s="36"/>
      <c r="AW98" s="34"/>
      <c r="AX98" s="36"/>
      <c r="AY98" s="36"/>
      <c r="AZ98" s="34"/>
      <c r="BA98" s="2" t="s">
        <v>213</v>
      </c>
    </row>
    <row r="99" spans="1:53">
      <c r="A99" s="36"/>
      <c r="B99" s="36"/>
      <c r="D99" s="36"/>
      <c r="E99" s="36"/>
      <c r="F99" s="36"/>
      <c r="G99" s="36"/>
      <c r="I99" s="36"/>
      <c r="K99" s="36"/>
      <c r="M99" s="36"/>
      <c r="O99" s="36"/>
      <c r="Q99" s="36"/>
      <c r="S99" s="36"/>
      <c r="U99" s="36"/>
      <c r="W99" s="36"/>
      <c r="Y99" s="36"/>
      <c r="AA99" s="36"/>
      <c r="AB99" s="36"/>
      <c r="AO99" s="36"/>
      <c r="AP99" s="36"/>
      <c r="AR99" s="36"/>
      <c r="AS99" s="36"/>
      <c r="AT99" s="36"/>
      <c r="AU99" s="34"/>
      <c r="AV99" s="36"/>
      <c r="AW99" s="34"/>
      <c r="AX99" s="36"/>
      <c r="AY99" s="36"/>
      <c r="AZ99" s="34"/>
      <c r="BA99" s="2" t="s">
        <v>213</v>
      </c>
    </row>
    <row r="100" spans="1:53">
      <c r="A100" s="36"/>
      <c r="B100" s="36"/>
      <c r="D100" s="36"/>
      <c r="E100" s="36"/>
      <c r="F100" s="36"/>
      <c r="G100" s="36"/>
      <c r="I100" s="36"/>
      <c r="K100" s="36"/>
      <c r="M100" s="36"/>
      <c r="O100" s="36"/>
      <c r="Q100" s="36"/>
      <c r="S100" s="36"/>
      <c r="U100" s="36"/>
      <c r="W100" s="36"/>
      <c r="Y100" s="36"/>
      <c r="AA100" s="36"/>
      <c r="AB100" s="36"/>
      <c r="AO100" s="36"/>
      <c r="AP100" s="36"/>
      <c r="AR100" s="36"/>
      <c r="AS100" s="36"/>
      <c r="AT100" s="36"/>
      <c r="AU100" s="34"/>
      <c r="AV100" s="36"/>
      <c r="AW100" s="34"/>
      <c r="AX100" s="36"/>
      <c r="AY100" s="36"/>
      <c r="AZ100" s="34"/>
      <c r="BA100" s="2" t="s">
        <v>213</v>
      </c>
    </row>
    <row r="101" spans="1:53">
      <c r="A101" s="36"/>
      <c r="B101" s="36"/>
      <c r="D101" s="36"/>
      <c r="E101" s="36"/>
      <c r="F101" s="36"/>
      <c r="G101" s="36"/>
      <c r="I101" s="36"/>
      <c r="K101" s="36"/>
      <c r="M101" s="36"/>
      <c r="O101" s="36"/>
      <c r="Q101" s="36"/>
      <c r="S101" s="36"/>
      <c r="U101" s="36"/>
      <c r="W101" s="36"/>
      <c r="Y101" s="36"/>
      <c r="AA101" s="36"/>
      <c r="AB101" s="36"/>
      <c r="AO101" s="36"/>
      <c r="AP101" s="36"/>
      <c r="AR101" s="36"/>
      <c r="AS101" s="36"/>
      <c r="AT101" s="36"/>
      <c r="AU101" s="34"/>
      <c r="AV101" s="36"/>
      <c r="AW101" s="34"/>
      <c r="AX101" s="36"/>
      <c r="AY101" s="36"/>
      <c r="AZ101" s="34"/>
      <c r="BA101" s="2" t="s">
        <v>213</v>
      </c>
    </row>
    <row r="102" spans="1:53">
      <c r="A102" s="36"/>
      <c r="B102" s="36"/>
      <c r="D102" s="36"/>
      <c r="E102" s="36"/>
      <c r="F102" s="36"/>
      <c r="G102" s="36"/>
      <c r="I102" s="36"/>
      <c r="K102" s="36"/>
      <c r="M102" s="36"/>
      <c r="O102" s="36"/>
      <c r="Q102" s="36"/>
      <c r="S102" s="36"/>
      <c r="U102" s="36"/>
      <c r="W102" s="36"/>
      <c r="Y102" s="36"/>
      <c r="AA102" s="36"/>
      <c r="AB102" s="36"/>
      <c r="AO102" s="36"/>
      <c r="AP102" s="36"/>
      <c r="AR102" s="36"/>
      <c r="AS102" s="36"/>
      <c r="AT102" s="36"/>
      <c r="AU102" s="34"/>
      <c r="AV102" s="36"/>
      <c r="AW102" s="34"/>
      <c r="AX102" s="36"/>
      <c r="AY102" s="36"/>
      <c r="AZ102" s="34"/>
      <c r="BA102" s="2" t="s">
        <v>213</v>
      </c>
    </row>
    <row r="103" spans="1:53">
      <c r="A103" s="36"/>
      <c r="B103" s="36"/>
      <c r="D103" s="36"/>
      <c r="E103" s="36"/>
      <c r="F103" s="36"/>
      <c r="G103" s="36"/>
      <c r="I103" s="36"/>
      <c r="K103" s="36"/>
      <c r="M103" s="36"/>
      <c r="O103" s="36"/>
      <c r="Q103" s="36"/>
      <c r="S103" s="36"/>
      <c r="U103" s="36"/>
      <c r="W103" s="36"/>
      <c r="Y103" s="36"/>
      <c r="AA103" s="36"/>
      <c r="AB103" s="36"/>
      <c r="AO103" s="36"/>
      <c r="AP103" s="36"/>
      <c r="AR103" s="36"/>
      <c r="AS103" s="36"/>
      <c r="AT103" s="36"/>
      <c r="AU103" s="34"/>
      <c r="AV103" s="36"/>
      <c r="AW103" s="34"/>
      <c r="AX103" s="36"/>
      <c r="AY103" s="36"/>
      <c r="AZ103" s="34"/>
      <c r="BA103" s="2" t="s">
        <v>213</v>
      </c>
    </row>
    <row r="104" spans="1:53">
      <c r="A104" s="36"/>
      <c r="B104" s="36"/>
      <c r="D104" s="36"/>
      <c r="E104" s="36"/>
      <c r="F104" s="36"/>
      <c r="G104" s="36"/>
      <c r="I104" s="36"/>
      <c r="K104" s="36"/>
      <c r="M104" s="36"/>
      <c r="O104" s="36"/>
      <c r="Q104" s="36"/>
      <c r="S104" s="36"/>
      <c r="U104" s="36"/>
      <c r="W104" s="36"/>
      <c r="Y104" s="36"/>
      <c r="AA104" s="36"/>
      <c r="AB104" s="36"/>
      <c r="AO104" s="36"/>
      <c r="AP104" s="36"/>
      <c r="AR104" s="36"/>
      <c r="AS104" s="36"/>
      <c r="AT104" s="36"/>
      <c r="AU104" s="34"/>
      <c r="AV104" s="36"/>
      <c r="AW104" s="34"/>
      <c r="AX104" s="36"/>
      <c r="AY104" s="36"/>
      <c r="AZ104" s="34"/>
      <c r="BA104" s="2" t="s">
        <v>213</v>
      </c>
    </row>
    <row r="105" spans="1:53">
      <c r="A105" s="36"/>
      <c r="B105" s="36"/>
      <c r="D105" s="36"/>
      <c r="E105" s="36"/>
      <c r="F105" s="36"/>
      <c r="G105" s="36"/>
      <c r="I105" s="36"/>
      <c r="K105" s="36"/>
      <c r="M105" s="36"/>
      <c r="O105" s="36"/>
      <c r="Q105" s="36"/>
      <c r="S105" s="36"/>
      <c r="U105" s="36"/>
      <c r="W105" s="36"/>
      <c r="Y105" s="36"/>
      <c r="AA105" s="36"/>
      <c r="AB105" s="36"/>
      <c r="AO105" s="36"/>
      <c r="AP105" s="36"/>
      <c r="AR105" s="36"/>
      <c r="AS105" s="36"/>
      <c r="AT105" s="36"/>
      <c r="AU105" s="34"/>
      <c r="AV105" s="36"/>
      <c r="AW105" s="34"/>
      <c r="AX105" s="36"/>
      <c r="AY105" s="36"/>
      <c r="AZ105" s="34"/>
      <c r="BA105" s="2" t="s">
        <v>213</v>
      </c>
    </row>
    <row r="106" spans="1:53">
      <c r="A106" s="36"/>
      <c r="B106" s="36"/>
      <c r="D106" s="36"/>
      <c r="E106" s="36"/>
      <c r="F106" s="36"/>
      <c r="G106" s="36"/>
      <c r="I106" s="36"/>
      <c r="K106" s="36"/>
      <c r="M106" s="36"/>
      <c r="O106" s="36"/>
      <c r="Q106" s="36"/>
      <c r="S106" s="36"/>
      <c r="U106" s="36"/>
      <c r="W106" s="36"/>
      <c r="Y106" s="36"/>
      <c r="AA106" s="36"/>
      <c r="AB106" s="36"/>
      <c r="AO106" s="36"/>
      <c r="AP106" s="36"/>
      <c r="AR106" s="36"/>
      <c r="AS106" s="36"/>
      <c r="AT106" s="36"/>
      <c r="AU106" s="34"/>
      <c r="AV106" s="36"/>
      <c r="AW106" s="34"/>
      <c r="AX106" s="36"/>
      <c r="AY106" s="36"/>
      <c r="AZ106" s="34"/>
      <c r="BA106" s="2" t="s">
        <v>213</v>
      </c>
    </row>
    <row r="107" spans="1:53">
      <c r="A107" s="36"/>
      <c r="B107" s="36"/>
      <c r="D107" s="36"/>
      <c r="E107" s="36"/>
      <c r="F107" s="36"/>
      <c r="G107" s="36"/>
      <c r="I107" s="36"/>
      <c r="K107" s="36"/>
      <c r="M107" s="36"/>
      <c r="O107" s="36"/>
      <c r="Q107" s="36"/>
      <c r="S107" s="36"/>
      <c r="U107" s="36"/>
      <c r="W107" s="36"/>
      <c r="Y107" s="36"/>
      <c r="AA107" s="36"/>
      <c r="AB107" s="36"/>
      <c r="AO107" s="36"/>
      <c r="AP107" s="36"/>
      <c r="AR107" s="36"/>
      <c r="AS107" s="36"/>
      <c r="AT107" s="36"/>
      <c r="AU107" s="34"/>
      <c r="AV107" s="36"/>
      <c r="AW107" s="34"/>
      <c r="AX107" s="36"/>
      <c r="AY107" s="36"/>
      <c r="AZ107" s="34"/>
      <c r="BA107" s="2" t="s">
        <v>213</v>
      </c>
    </row>
    <row r="108" spans="1:53">
      <c r="A108" s="36"/>
      <c r="B108" s="36"/>
      <c r="D108" s="36"/>
      <c r="E108" s="36"/>
      <c r="F108" s="36"/>
      <c r="G108" s="36"/>
      <c r="I108" s="36"/>
      <c r="K108" s="36"/>
      <c r="M108" s="36"/>
      <c r="O108" s="36"/>
      <c r="Q108" s="36"/>
      <c r="S108" s="36"/>
      <c r="U108" s="36"/>
      <c r="W108" s="36"/>
      <c r="Y108" s="36"/>
      <c r="AA108" s="36"/>
      <c r="AB108" s="36"/>
      <c r="AO108" s="36"/>
      <c r="AP108" s="36"/>
      <c r="AR108" s="36"/>
      <c r="AS108" s="36"/>
      <c r="AT108" s="36"/>
      <c r="AU108" s="34"/>
      <c r="AV108" s="36"/>
      <c r="AW108" s="34"/>
      <c r="AX108" s="36"/>
      <c r="AY108" s="36"/>
      <c r="AZ108" s="34"/>
      <c r="BA108" s="2" t="s">
        <v>213</v>
      </c>
    </row>
    <row r="109" spans="1:53">
      <c r="A109" s="36"/>
      <c r="B109" s="36"/>
      <c r="D109" s="36"/>
      <c r="E109" s="36"/>
      <c r="F109" s="36"/>
      <c r="G109" s="36"/>
      <c r="I109" s="36"/>
      <c r="K109" s="36"/>
      <c r="M109" s="36"/>
      <c r="O109" s="36"/>
      <c r="Q109" s="36"/>
      <c r="S109" s="36"/>
      <c r="U109" s="36"/>
      <c r="W109" s="36"/>
      <c r="Y109" s="36"/>
      <c r="AA109" s="36"/>
      <c r="AB109" s="36"/>
      <c r="AO109" s="36"/>
      <c r="AP109" s="36"/>
      <c r="AR109" s="36"/>
      <c r="AS109" s="36"/>
      <c r="AT109" s="36"/>
      <c r="AU109" s="34"/>
      <c r="AV109" s="36"/>
      <c r="AW109" s="34"/>
      <c r="AX109" s="36"/>
      <c r="AY109" s="36"/>
      <c r="AZ109" s="34"/>
      <c r="BA109" s="2" t="s">
        <v>213</v>
      </c>
    </row>
    <row r="110" spans="1:53">
      <c r="A110" s="36"/>
      <c r="B110" s="36"/>
      <c r="D110" s="36"/>
      <c r="E110" s="36"/>
      <c r="F110" s="36"/>
      <c r="G110" s="36"/>
      <c r="I110" s="36"/>
      <c r="K110" s="36"/>
      <c r="M110" s="36"/>
      <c r="O110" s="36"/>
      <c r="Q110" s="36"/>
      <c r="S110" s="36"/>
      <c r="U110" s="36"/>
      <c r="W110" s="36"/>
      <c r="Y110" s="36"/>
      <c r="AA110" s="36"/>
      <c r="AB110" s="36"/>
      <c r="AO110" s="36"/>
      <c r="AP110" s="36"/>
      <c r="AR110" s="36"/>
      <c r="AS110" s="36"/>
      <c r="AT110" s="36"/>
      <c r="AU110" s="34"/>
      <c r="AV110" s="36"/>
      <c r="AW110" s="34"/>
      <c r="AX110" s="36"/>
      <c r="AY110" s="36"/>
      <c r="AZ110" s="34"/>
      <c r="BA110" s="2" t="s">
        <v>213</v>
      </c>
    </row>
    <row r="111" spans="1:53">
      <c r="A111" s="36"/>
      <c r="B111" s="36"/>
      <c r="D111" s="36"/>
      <c r="E111" s="36"/>
      <c r="F111" s="36"/>
      <c r="G111" s="36"/>
      <c r="I111" s="36"/>
      <c r="K111" s="36"/>
      <c r="M111" s="36"/>
      <c r="O111" s="36"/>
      <c r="Q111" s="36"/>
      <c r="S111" s="36"/>
      <c r="U111" s="36"/>
      <c r="W111" s="36"/>
      <c r="Y111" s="36"/>
      <c r="AA111" s="36"/>
      <c r="AB111" s="36"/>
      <c r="AO111" s="36"/>
      <c r="AP111" s="36"/>
      <c r="AR111" s="36"/>
      <c r="AS111" s="36"/>
      <c r="AT111" s="36"/>
      <c r="AU111" s="34"/>
      <c r="AV111" s="36"/>
      <c r="AW111" s="34"/>
      <c r="AX111" s="36"/>
      <c r="AY111" s="36"/>
      <c r="AZ111" s="34"/>
      <c r="BA111" s="2" t="s">
        <v>213</v>
      </c>
    </row>
    <row r="112" spans="1:53">
      <c r="A112" s="36"/>
      <c r="B112" s="36"/>
      <c r="D112" s="36"/>
      <c r="E112" s="36"/>
      <c r="F112" s="36"/>
      <c r="G112" s="36"/>
      <c r="I112" s="36"/>
      <c r="K112" s="36"/>
      <c r="M112" s="36"/>
      <c r="O112" s="36"/>
      <c r="Q112" s="36"/>
      <c r="S112" s="36"/>
      <c r="U112" s="36"/>
      <c r="W112" s="36"/>
      <c r="Y112" s="36"/>
      <c r="AA112" s="36"/>
      <c r="AB112" s="36"/>
      <c r="AO112" s="36"/>
      <c r="AP112" s="36"/>
      <c r="AR112" s="36"/>
      <c r="AS112" s="36"/>
      <c r="AT112" s="36"/>
      <c r="AU112" s="34"/>
      <c r="AV112" s="36"/>
      <c r="AW112" s="34"/>
      <c r="AX112" s="36"/>
      <c r="AY112" s="36"/>
      <c r="AZ112" s="34"/>
      <c r="BA112" s="2" t="s">
        <v>213</v>
      </c>
    </row>
    <row r="113" spans="1:53">
      <c r="A113" s="36"/>
      <c r="B113" s="36"/>
      <c r="D113" s="36"/>
      <c r="E113" s="36"/>
      <c r="F113" s="36"/>
      <c r="G113" s="36"/>
      <c r="I113" s="36"/>
      <c r="K113" s="36"/>
      <c r="M113" s="36"/>
      <c r="O113" s="36"/>
      <c r="Q113" s="36"/>
      <c r="S113" s="36"/>
      <c r="U113" s="36"/>
      <c r="W113" s="36"/>
      <c r="Y113" s="36"/>
      <c r="AA113" s="36"/>
      <c r="AB113" s="36"/>
      <c r="AO113" s="36"/>
      <c r="AP113" s="36"/>
      <c r="AR113" s="36"/>
      <c r="AS113" s="36"/>
      <c r="AT113" s="36"/>
      <c r="AU113" s="34"/>
      <c r="AV113" s="36"/>
      <c r="AW113" s="34"/>
      <c r="AX113" s="36"/>
      <c r="AY113" s="36"/>
      <c r="AZ113" s="34"/>
      <c r="BA113" s="2" t="s">
        <v>213</v>
      </c>
    </row>
    <row r="114" spans="1:53">
      <c r="A114" s="36"/>
      <c r="B114" s="36"/>
      <c r="D114" s="36"/>
      <c r="E114" s="36"/>
      <c r="F114" s="36"/>
      <c r="G114" s="36"/>
      <c r="I114" s="36"/>
      <c r="K114" s="36"/>
      <c r="M114" s="36"/>
      <c r="O114" s="36"/>
      <c r="Q114" s="36"/>
      <c r="S114" s="36"/>
      <c r="U114" s="36"/>
      <c r="W114" s="36"/>
      <c r="Y114" s="36"/>
      <c r="AA114" s="36"/>
      <c r="AB114" s="36"/>
      <c r="AO114" s="36"/>
      <c r="AP114" s="36"/>
      <c r="AR114" s="36"/>
      <c r="AS114" s="36"/>
      <c r="AT114" s="36"/>
      <c r="AU114" s="34"/>
      <c r="AV114" s="36"/>
      <c r="AW114" s="34"/>
      <c r="AX114" s="36"/>
      <c r="AY114" s="36"/>
      <c r="AZ114" s="34"/>
      <c r="BA114" s="2" t="s">
        <v>213</v>
      </c>
    </row>
    <row r="115" spans="1:53">
      <c r="A115" s="36"/>
      <c r="B115" s="36"/>
      <c r="D115" s="36"/>
      <c r="E115" s="36"/>
      <c r="F115" s="36"/>
      <c r="G115" s="36"/>
      <c r="I115" s="36"/>
      <c r="K115" s="36"/>
      <c r="M115" s="36"/>
      <c r="O115" s="36"/>
      <c r="Q115" s="36"/>
      <c r="S115" s="36"/>
      <c r="U115" s="36"/>
      <c r="W115" s="36"/>
      <c r="Y115" s="36"/>
      <c r="AA115" s="36"/>
      <c r="AB115" s="36"/>
      <c r="AO115" s="36"/>
      <c r="AP115" s="36"/>
      <c r="AR115" s="36"/>
      <c r="AS115" s="36"/>
      <c r="AT115" s="36"/>
      <c r="AU115" s="34"/>
      <c r="AV115" s="36"/>
      <c r="AW115" s="34"/>
      <c r="AX115" s="36"/>
      <c r="AY115" s="36"/>
      <c r="AZ115" s="34"/>
      <c r="BA115" s="2" t="s">
        <v>213</v>
      </c>
    </row>
    <row r="116" spans="1:53">
      <c r="A116" s="36"/>
      <c r="B116" s="36"/>
      <c r="D116" s="36"/>
      <c r="E116" s="36"/>
      <c r="F116" s="36"/>
      <c r="G116" s="36"/>
      <c r="I116" s="36"/>
      <c r="K116" s="36"/>
      <c r="M116" s="36"/>
      <c r="O116" s="36"/>
      <c r="Q116" s="36"/>
      <c r="S116" s="36"/>
      <c r="U116" s="36"/>
      <c r="W116" s="36"/>
      <c r="Y116" s="36"/>
      <c r="AA116" s="36"/>
      <c r="AB116" s="36"/>
      <c r="AO116" s="36"/>
      <c r="AP116" s="36"/>
      <c r="AR116" s="36"/>
      <c r="AS116" s="36"/>
      <c r="AT116" s="36"/>
      <c r="AU116" s="34"/>
      <c r="AV116" s="36"/>
      <c r="AW116" s="34"/>
      <c r="AX116" s="36"/>
      <c r="AY116" s="36"/>
      <c r="AZ116" s="34"/>
      <c r="BA116" s="2" t="s">
        <v>213</v>
      </c>
    </row>
    <row r="117" spans="1:53">
      <c r="A117" s="36"/>
      <c r="B117" s="36"/>
      <c r="D117" s="36"/>
      <c r="E117" s="36"/>
      <c r="F117" s="36"/>
      <c r="G117" s="36"/>
      <c r="I117" s="36"/>
      <c r="K117" s="36"/>
      <c r="M117" s="36"/>
      <c r="O117" s="36"/>
      <c r="Q117" s="36"/>
      <c r="S117" s="36"/>
      <c r="U117" s="36"/>
      <c r="W117" s="36"/>
      <c r="Y117" s="36"/>
      <c r="AA117" s="36"/>
      <c r="AB117" s="36"/>
      <c r="AO117" s="36"/>
      <c r="AP117" s="36"/>
      <c r="AR117" s="36"/>
      <c r="AS117" s="36"/>
      <c r="AT117" s="36"/>
      <c r="AU117" s="34"/>
      <c r="AV117" s="36"/>
      <c r="AW117" s="34"/>
      <c r="AX117" s="36"/>
      <c r="AY117" s="36"/>
      <c r="AZ117" s="34"/>
      <c r="BA117" s="2" t="s">
        <v>213</v>
      </c>
    </row>
    <row r="118" spans="1:53">
      <c r="A118" s="36"/>
      <c r="B118" s="36"/>
      <c r="D118" s="36"/>
      <c r="E118" s="36"/>
      <c r="F118" s="36"/>
      <c r="G118" s="36"/>
      <c r="I118" s="36"/>
      <c r="K118" s="36"/>
      <c r="M118" s="36"/>
      <c r="O118" s="36"/>
      <c r="Q118" s="36"/>
      <c r="S118" s="36"/>
      <c r="U118" s="36"/>
      <c r="W118" s="36"/>
      <c r="Y118" s="36"/>
      <c r="AA118" s="36"/>
      <c r="AB118" s="36"/>
      <c r="AO118" s="36"/>
      <c r="AP118" s="36"/>
      <c r="AR118" s="36"/>
      <c r="AS118" s="36"/>
      <c r="AT118" s="36"/>
      <c r="AU118" s="34"/>
      <c r="AV118" s="36"/>
      <c r="AW118" s="34"/>
      <c r="AX118" s="36"/>
      <c r="AY118" s="36"/>
      <c r="AZ118" s="34"/>
      <c r="BA118" s="2" t="s">
        <v>213</v>
      </c>
    </row>
    <row r="119" spans="1:53">
      <c r="A119" s="36"/>
      <c r="B119" s="36"/>
      <c r="D119" s="36"/>
      <c r="E119" s="36"/>
      <c r="F119" s="36"/>
      <c r="G119" s="36"/>
      <c r="I119" s="36"/>
      <c r="K119" s="36"/>
      <c r="M119" s="36"/>
      <c r="O119" s="36"/>
      <c r="Q119" s="36"/>
      <c r="S119" s="36"/>
      <c r="U119" s="36"/>
      <c r="W119" s="36"/>
      <c r="Y119" s="36"/>
      <c r="AA119" s="36"/>
      <c r="AB119" s="36"/>
      <c r="AO119" s="36"/>
      <c r="AP119" s="36"/>
      <c r="AR119" s="36"/>
      <c r="AS119" s="36"/>
      <c r="AT119" s="36"/>
      <c r="AU119" s="34"/>
      <c r="AV119" s="36"/>
      <c r="AW119" s="34"/>
      <c r="AX119" s="36"/>
      <c r="AY119" s="36"/>
      <c r="AZ119" s="34"/>
      <c r="BA119" s="2" t="s">
        <v>213</v>
      </c>
    </row>
    <row r="120" spans="1:53">
      <c r="A120" s="36"/>
      <c r="B120" s="36"/>
      <c r="D120" s="36"/>
      <c r="E120" s="36"/>
      <c r="F120" s="36"/>
      <c r="G120" s="36"/>
      <c r="I120" s="36"/>
      <c r="K120" s="36"/>
      <c r="M120" s="36"/>
      <c r="O120" s="36"/>
      <c r="Q120" s="36"/>
      <c r="S120" s="36"/>
      <c r="U120" s="36"/>
      <c r="W120" s="36"/>
      <c r="Y120" s="36"/>
      <c r="AA120" s="36"/>
      <c r="AB120" s="36"/>
      <c r="AO120" s="36"/>
      <c r="AP120" s="36"/>
      <c r="AR120" s="36"/>
      <c r="AS120" s="36"/>
      <c r="AT120" s="36"/>
      <c r="AU120" s="34"/>
      <c r="AV120" s="36"/>
      <c r="AW120" s="34"/>
      <c r="AX120" s="36"/>
      <c r="AY120" s="36"/>
      <c r="AZ120" s="34"/>
      <c r="BA120" s="2" t="s">
        <v>213</v>
      </c>
    </row>
    <row r="121" spans="1:53">
      <c r="A121" s="36"/>
      <c r="B121" s="36"/>
      <c r="D121" s="36"/>
      <c r="E121" s="36"/>
      <c r="F121" s="36"/>
      <c r="G121" s="36"/>
      <c r="I121" s="36"/>
      <c r="K121" s="36"/>
      <c r="M121" s="36"/>
      <c r="O121" s="36"/>
      <c r="Q121" s="36"/>
      <c r="S121" s="36"/>
      <c r="U121" s="36"/>
      <c r="W121" s="36"/>
      <c r="Y121" s="36"/>
      <c r="AA121" s="36"/>
      <c r="AB121" s="36"/>
      <c r="AO121" s="36"/>
      <c r="AP121" s="36"/>
      <c r="AR121" s="36"/>
      <c r="AS121" s="36"/>
      <c r="AT121" s="36"/>
      <c r="AU121" s="34"/>
      <c r="AV121" s="36"/>
      <c r="AW121" s="34"/>
      <c r="AX121" s="36"/>
      <c r="AY121" s="36"/>
      <c r="AZ121" s="34"/>
      <c r="BA121" s="2" t="s">
        <v>213</v>
      </c>
    </row>
    <row r="122" spans="1:53">
      <c r="A122" s="36"/>
      <c r="B122" s="36"/>
      <c r="D122" s="36"/>
      <c r="E122" s="36"/>
      <c r="F122" s="36"/>
      <c r="G122" s="36"/>
      <c r="I122" s="36"/>
      <c r="K122" s="36"/>
      <c r="M122" s="36"/>
      <c r="O122" s="36"/>
      <c r="Q122" s="36"/>
      <c r="S122" s="36"/>
      <c r="U122" s="36"/>
      <c r="W122" s="36"/>
      <c r="Y122" s="36"/>
      <c r="AA122" s="36"/>
      <c r="AB122" s="36"/>
      <c r="AO122" s="36"/>
      <c r="AP122" s="36"/>
      <c r="AR122" s="36"/>
      <c r="AS122" s="36"/>
      <c r="AT122" s="36"/>
      <c r="AU122" s="34"/>
      <c r="AV122" s="36"/>
      <c r="AW122" s="34"/>
      <c r="AX122" s="36"/>
      <c r="AY122" s="36"/>
      <c r="AZ122" s="34"/>
      <c r="BA122" s="2" t="s">
        <v>213</v>
      </c>
    </row>
    <row r="123" spans="1:53">
      <c r="A123" s="34"/>
      <c r="B123" s="34"/>
      <c r="D123" s="34"/>
      <c r="E123" s="34"/>
      <c r="F123" s="34"/>
      <c r="G123" s="34"/>
      <c r="I123" s="34"/>
      <c r="K123" s="34"/>
      <c r="M123" s="34"/>
      <c r="O123" s="34"/>
      <c r="Q123" s="34"/>
      <c r="S123" s="34"/>
      <c r="U123" s="34"/>
      <c r="W123" s="34"/>
      <c r="Y123" s="34"/>
      <c r="AA123" s="34"/>
      <c r="AB123" s="34"/>
      <c r="AD123" s="34"/>
      <c r="AE123" s="34"/>
      <c r="AF123" s="34"/>
      <c r="AG123" s="34"/>
      <c r="AH123" s="34"/>
      <c r="AI123" s="34"/>
      <c r="AJ123" s="34"/>
      <c r="AK123" s="34"/>
      <c r="AL123" s="34"/>
      <c r="AM123" s="34"/>
      <c r="AN123" s="34"/>
      <c r="AO123" s="34"/>
      <c r="AP123" s="34"/>
      <c r="AR123" s="34"/>
      <c r="AS123" s="34"/>
      <c r="AT123" s="34"/>
      <c r="AU123" s="34"/>
      <c r="AV123" s="34"/>
      <c r="AW123" s="34"/>
      <c r="AX123" s="34"/>
      <c r="AY123" s="34"/>
      <c r="AZ123" s="34"/>
      <c r="BA123" s="2" t="s">
        <v>213</v>
      </c>
    </row>
    <row r="124" spans="1:53">
      <c r="A124" s="2" t="s">
        <v>213</v>
      </c>
      <c r="B124" s="2" t="s">
        <v>213</v>
      </c>
      <c r="C124" s="34" t="s">
        <v>213</v>
      </c>
      <c r="D124" s="2" t="s">
        <v>213</v>
      </c>
      <c r="E124" s="2" t="s">
        <v>213</v>
      </c>
      <c r="F124" s="2" t="s">
        <v>213</v>
      </c>
      <c r="G124" s="2" t="s">
        <v>213</v>
      </c>
      <c r="H124" s="34" t="s">
        <v>213</v>
      </c>
      <c r="I124" s="2" t="s">
        <v>213</v>
      </c>
      <c r="J124" s="34" t="s">
        <v>213</v>
      </c>
      <c r="K124" s="2" t="s">
        <v>213</v>
      </c>
      <c r="L124" s="34" t="s">
        <v>213</v>
      </c>
      <c r="M124" s="2" t="s">
        <v>213</v>
      </c>
      <c r="N124" s="34" t="s">
        <v>213</v>
      </c>
      <c r="O124" s="2" t="s">
        <v>213</v>
      </c>
      <c r="P124" s="34" t="s">
        <v>213</v>
      </c>
      <c r="Q124" s="2" t="s">
        <v>213</v>
      </c>
      <c r="R124" s="34" t="s">
        <v>213</v>
      </c>
      <c r="S124" s="2" t="s">
        <v>213</v>
      </c>
      <c r="T124" s="34" t="s">
        <v>213</v>
      </c>
      <c r="U124" s="2" t="s">
        <v>213</v>
      </c>
      <c r="V124" s="34" t="s">
        <v>213</v>
      </c>
      <c r="W124" s="2" t="s">
        <v>213</v>
      </c>
      <c r="X124" s="34" t="s">
        <v>213</v>
      </c>
      <c r="Y124" s="2" t="s">
        <v>213</v>
      </c>
      <c r="Z124" s="34" t="s">
        <v>213</v>
      </c>
      <c r="AA124" s="2" t="s">
        <v>213</v>
      </c>
      <c r="AB124" s="2" t="s">
        <v>213</v>
      </c>
      <c r="AC124" s="34" t="s">
        <v>213</v>
      </c>
      <c r="AD124" s="2" t="s">
        <v>213</v>
      </c>
      <c r="AE124" s="2" t="s">
        <v>213</v>
      </c>
      <c r="AF124" s="2" t="s">
        <v>213</v>
      </c>
      <c r="AG124" s="2" t="s">
        <v>213</v>
      </c>
      <c r="AH124" s="2" t="s">
        <v>213</v>
      </c>
      <c r="AI124" s="2" t="s">
        <v>213</v>
      </c>
      <c r="AJ124" s="2" t="s">
        <v>213</v>
      </c>
      <c r="AK124" s="2" t="s">
        <v>213</v>
      </c>
      <c r="AL124" s="2" t="s">
        <v>213</v>
      </c>
      <c r="AM124" s="2" t="s">
        <v>213</v>
      </c>
      <c r="AN124" s="2" t="s">
        <v>213</v>
      </c>
      <c r="AO124" s="2" t="s">
        <v>213</v>
      </c>
      <c r="AP124" s="2" t="s">
        <v>213</v>
      </c>
      <c r="AQ124" s="34" t="s">
        <v>213</v>
      </c>
      <c r="AR124" s="2" t="s">
        <v>213</v>
      </c>
      <c r="AS124" s="2" t="s">
        <v>213</v>
      </c>
      <c r="AT124" s="2" t="s">
        <v>213</v>
      </c>
      <c r="AU124" s="2" t="s">
        <v>213</v>
      </c>
      <c r="AV124" s="2" t="s">
        <v>213</v>
      </c>
      <c r="AW124" s="2" t="s">
        <v>213</v>
      </c>
      <c r="AX124" s="2" t="s">
        <v>213</v>
      </c>
      <c r="AY124" s="2" t="s">
        <v>213</v>
      </c>
      <c r="AZ124" s="2" t="s">
        <v>213</v>
      </c>
      <c r="BA124" s="2" t="s">
        <v>213</v>
      </c>
    </row>
  </sheetData>
  <sheetProtection formatCells="0" formatColumns="0" formatRows="0" insertHyperlinks="0" selectLockedCells="1" autoFilter="0"/>
  <sortState xmlns:xlrd2="http://schemas.microsoft.com/office/spreadsheetml/2017/richdata2" ref="AX2:AY37">
    <sortCondition ref="AY2:AY37"/>
    <sortCondition ref="AX2:AX37"/>
  </sortState>
  <dataConsolidate/>
  <phoneticPr fontId="5"/>
  <hyperlinks>
    <hyperlink ref="F2" r:id="rId1" xr:uid="{27FE21C3-6237-423B-A1D8-FAF9AF51E1C0}"/>
    <hyperlink ref="F6" r:id="rId2" xr:uid="{86E528FC-EB9C-4CA0-AE06-96F532DFCBE6}"/>
    <hyperlink ref="G6" r:id="rId3" xr:uid="{14524891-97EC-4790-9C99-987427C25978}"/>
    <hyperlink ref="G2" r:id="rId4" xr:uid="{5541A3C6-0C5B-4F2F-B2DC-A078E2C61C32}"/>
    <hyperlink ref="F3" r:id="rId5" xr:uid="{E181B64F-CC95-4120-A9F9-23A24C37DE76}"/>
    <hyperlink ref="F4" r:id="rId6" xr:uid="{06D9B842-AB8A-4BB3-A186-D91CF2FAC716}"/>
    <hyperlink ref="G3" r:id="rId7" xr:uid="{7D8FEF7D-92A0-4399-BC58-D5EF8A244CBC}"/>
    <hyperlink ref="G4" r:id="rId8" xr:uid="{B64017ED-5CCE-4B35-9C0B-7475A5A55415}"/>
    <hyperlink ref="F5" r:id="rId9" xr:uid="{FEBFF911-38F5-4F9F-B9D7-15991F0A88AE}"/>
    <hyperlink ref="G5" r:id="rId10" xr:uid="{4F6BD08E-1741-4D5A-B3C4-201AFF9045C9}"/>
    <hyperlink ref="F7" r:id="rId11" xr:uid="{C3F1A8F5-676C-4ED8-980B-676DF68E2926}"/>
    <hyperlink ref="F9" r:id="rId12" xr:uid="{0E2FE891-956C-4CF3-AC39-A62994CCF15E}"/>
    <hyperlink ref="G9" r:id="rId13" xr:uid="{FAD75DEC-861B-458A-8A0E-28EDFC5160ED}"/>
    <hyperlink ref="F10" r:id="rId14" xr:uid="{EBBAD17C-128C-4B3A-B3C6-964E6F218769}"/>
    <hyperlink ref="G10" r:id="rId15" xr:uid="{E0C23C69-5935-43DE-BE90-D660E3EC005E}"/>
    <hyperlink ref="F13" r:id="rId16" xr:uid="{228F9AA6-4829-467C-887A-B00B0AEB19DB}"/>
    <hyperlink ref="G13" r:id="rId17" xr:uid="{59E520DE-B18D-4E14-B19C-779867F0E0A4}"/>
    <hyperlink ref="G7" r:id="rId18" xr:uid="{89987A6A-D048-43AE-AA68-1DB85C09C127}"/>
    <hyperlink ref="F8" r:id="rId19" xr:uid="{95499CD5-3735-4114-A120-E25B15D40311}"/>
    <hyperlink ref="G8" r:id="rId20" xr:uid="{A2205280-720D-4BD0-9B02-38089867AAAF}"/>
    <hyperlink ref="F11" r:id="rId21" xr:uid="{BD674714-515A-4554-9C80-AED3F1CA0A81}"/>
    <hyperlink ref="G11" r:id="rId22" xr:uid="{6004E2D4-42CB-4104-AB0E-565575F7DE65}"/>
    <hyperlink ref="F12" r:id="rId23" xr:uid="{D654114F-B3CB-48FA-BAF1-9D41EA3FFE73}"/>
    <hyperlink ref="G12" r:id="rId24" xr:uid="{03C48EAD-24A8-49A6-8178-F9E5ECC3AEE3}"/>
    <hyperlink ref="AV2" r:id="rId25" xr:uid="{26CC5238-E8F5-41D7-AAAE-565B45FBAD6C}"/>
    <hyperlink ref="F14" r:id="rId26" xr:uid="{FE17C62E-1604-492E-B59B-43DB3FDA1FBF}"/>
    <hyperlink ref="G14" r:id="rId27" xr:uid="{5422CFE8-F4BC-4303-AC12-955760C0E4E1}"/>
    <hyperlink ref="G15" r:id="rId28" xr:uid="{98EF2084-E86B-4AA7-A415-9C53D810005F}"/>
    <hyperlink ref="G16" r:id="rId29" xr:uid="{66D9F6E9-B011-40FA-BB46-A047EF25B7B4}"/>
    <hyperlink ref="F15" r:id="rId30" xr:uid="{5E1264D1-7EEA-4C16-A0FA-D53148F43EBD}"/>
    <hyperlink ref="F16" r:id="rId31" xr:uid="{BC7A8495-6DFB-46D3-A4D3-BFF478B06468}"/>
    <hyperlink ref="F17" r:id="rId32" display="as@krone.co.jp" xr:uid="{0836D91D-1DD4-4DC2-B138-2331CADC6E26}"/>
    <hyperlink ref="G17" r:id="rId33" display="fujiwara@krone.co.jp; " xr:uid="{2C917565-D5B4-4B2D-81AA-BC561CECC305}"/>
    <hyperlink ref="F18" r:id="rId34" display="as@krone.co.jp" xr:uid="{7EAAF5C5-4E7C-4F53-BE51-48374A80CB43}"/>
    <hyperlink ref="F19" r:id="rId35" display="as@krone.co.jp" xr:uid="{4512E008-34E2-443E-BBB0-DAB067692726}"/>
    <hyperlink ref="G18" r:id="rId36" display="fujiwara@krone.co.jp; " xr:uid="{CE195487-BF61-40BB-884B-9281EA530D03}"/>
    <hyperlink ref="G19" r:id="rId37" display="fujiwara@krone.co.jp; " xr:uid="{55355A0C-57AD-454C-BFA2-31E9AE805716}"/>
  </hyperlinks>
  <pageMargins left="0.7" right="0.7" top="0.75" bottom="0.75" header="0.3" footer="0.3"/>
  <pageSetup paperSize="9" orientation="portrait" r:id="rId38"/>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C213DB-1FCE-4776-98CD-CD939B9106E8}">
  <sheetPr codeName="Sheet7"/>
  <dimension ref="A1:M78"/>
  <sheetViews>
    <sheetView topLeftCell="A51" zoomScaleNormal="100" zoomScaleSheetLayoutView="80" workbookViewId="0">
      <selection activeCell="C62" sqref="C62"/>
    </sheetView>
  </sheetViews>
  <sheetFormatPr defaultColWidth="9" defaultRowHeight="13.5"/>
  <cols>
    <col min="1" max="1" width="9" style="1"/>
    <col min="2" max="2" width="46.5" style="1" customWidth="1"/>
    <col min="3" max="3" width="85.625" style="46" customWidth="1"/>
    <col min="4" max="4" width="2.125" style="1" customWidth="1"/>
    <col min="5" max="5" width="9" style="1" customWidth="1"/>
    <col min="6" max="6" width="2.875" style="1" customWidth="1"/>
    <col min="7" max="7" width="0.875" style="1" customWidth="1"/>
    <col min="8" max="8" width="9.125" style="1" customWidth="1"/>
    <col min="9" max="9" width="0.875" style="1" customWidth="1"/>
    <col min="10" max="10" width="3.625" style="1" customWidth="1"/>
    <col min="11" max="11" width="0.875" style="1" customWidth="1"/>
    <col min="12" max="12" width="9.125" style="1" customWidth="1"/>
    <col min="13" max="13" width="0.875" style="1" customWidth="1"/>
    <col min="14" max="16384" width="9" style="1"/>
  </cols>
  <sheetData>
    <row r="1" spans="1:3" ht="25.5" customHeight="1">
      <c r="A1" s="69" t="s">
        <v>16</v>
      </c>
      <c r="B1" s="69" t="s">
        <v>16</v>
      </c>
      <c r="C1" s="37" t="s">
        <v>750</v>
      </c>
    </row>
    <row r="2" spans="1:3" ht="18.75">
      <c r="A2" s="71" t="s">
        <v>8</v>
      </c>
      <c r="B2" s="71" t="s">
        <v>8</v>
      </c>
      <c r="C2" s="38" t="s">
        <v>1706</v>
      </c>
    </row>
    <row r="3" spans="1:3" ht="18.75">
      <c r="A3" s="259" t="s">
        <v>95</v>
      </c>
      <c r="B3" s="72" t="s">
        <v>60</v>
      </c>
      <c r="C3" s="37" t="s">
        <v>1707</v>
      </c>
    </row>
    <row r="4" spans="1:3" ht="18.75">
      <c r="A4" s="278"/>
      <c r="B4" s="73" t="s">
        <v>63</v>
      </c>
      <c r="C4" s="37" t="s">
        <v>38</v>
      </c>
    </row>
    <row r="5" spans="1:3" ht="18.75">
      <c r="A5" s="278"/>
      <c r="B5" s="73" t="s">
        <v>61</v>
      </c>
      <c r="C5" s="39" t="s">
        <v>38</v>
      </c>
    </row>
    <row r="6" spans="1:3" ht="15.75">
      <c r="A6" s="278"/>
      <c r="B6" s="74" t="s">
        <v>62</v>
      </c>
      <c r="C6" s="40" t="s">
        <v>1708</v>
      </c>
    </row>
    <row r="7" spans="1:3" ht="15.75">
      <c r="A7" s="265"/>
      <c r="B7" s="75" t="s">
        <v>3</v>
      </c>
      <c r="C7" s="41" t="s">
        <v>1702</v>
      </c>
    </row>
    <row r="8" spans="1:3" ht="15.75">
      <c r="A8" s="259" t="s">
        <v>96</v>
      </c>
      <c r="B8" s="75" t="s">
        <v>27</v>
      </c>
      <c r="C8" s="42" t="s">
        <v>1709</v>
      </c>
    </row>
    <row r="9" spans="1:3" ht="18.75">
      <c r="A9" s="278"/>
      <c r="B9" s="76" t="s">
        <v>59</v>
      </c>
      <c r="C9" s="61" t="s">
        <v>1708</v>
      </c>
    </row>
    <row r="10" spans="1:3" ht="18.75">
      <c r="A10" s="278"/>
      <c r="B10" s="76" t="s">
        <v>58</v>
      </c>
      <c r="C10" s="43" t="s">
        <v>38</v>
      </c>
    </row>
    <row r="11" spans="1:3" ht="18.75">
      <c r="A11" s="278"/>
      <c r="B11" s="77" t="s">
        <v>65</v>
      </c>
      <c r="C11" s="43" t="s">
        <v>749</v>
      </c>
    </row>
    <row r="12" spans="1:3" ht="18.75">
      <c r="A12" s="265"/>
      <c r="B12" s="78" t="s">
        <v>2</v>
      </c>
      <c r="C12" s="43" t="s">
        <v>1710</v>
      </c>
    </row>
    <row r="13" spans="1:3" ht="18.75">
      <c r="A13" s="259" t="s">
        <v>9</v>
      </c>
      <c r="B13" s="78" t="s">
        <v>4</v>
      </c>
      <c r="C13" s="43" t="s">
        <v>119</v>
      </c>
    </row>
    <row r="14" spans="1:3" ht="18.75">
      <c r="A14" s="278"/>
      <c r="B14" s="78" t="s">
        <v>0</v>
      </c>
      <c r="C14" s="43" t="s">
        <v>38</v>
      </c>
    </row>
    <row r="15" spans="1:3" ht="18.75">
      <c r="A15" s="278"/>
      <c r="B15" s="78" t="s">
        <v>28</v>
      </c>
      <c r="C15" s="43" t="s">
        <v>1711</v>
      </c>
    </row>
    <row r="16" spans="1:3" ht="18.75">
      <c r="A16" s="278"/>
      <c r="B16" s="76" t="s">
        <v>57</v>
      </c>
      <c r="C16" s="43" t="s">
        <v>1712</v>
      </c>
    </row>
    <row r="17" spans="1:3" ht="18.75">
      <c r="A17" s="278"/>
      <c r="B17" s="77" t="s">
        <v>64</v>
      </c>
      <c r="C17" s="43" t="s">
        <v>1713</v>
      </c>
    </row>
    <row r="18" spans="1:3" ht="18.75">
      <c r="A18" s="278"/>
      <c r="B18" s="78" t="s">
        <v>67</v>
      </c>
      <c r="C18" s="43" t="s">
        <v>1714</v>
      </c>
    </row>
    <row r="19" spans="1:3" ht="18.75">
      <c r="A19" s="265"/>
      <c r="B19" s="76" t="s">
        <v>66</v>
      </c>
      <c r="C19" s="41" t="s">
        <v>1715</v>
      </c>
    </row>
    <row r="20" spans="1:3" ht="18.75">
      <c r="A20" s="259" t="s">
        <v>10</v>
      </c>
      <c r="B20" s="78" t="s">
        <v>11</v>
      </c>
      <c r="C20" s="61" t="s">
        <v>1716</v>
      </c>
    </row>
    <row r="21" spans="1:3" ht="18.75">
      <c r="A21" s="278"/>
      <c r="B21" s="78" t="s">
        <v>12</v>
      </c>
      <c r="C21" s="43" t="s">
        <v>751</v>
      </c>
    </row>
    <row r="22" spans="1:3" ht="18.75">
      <c r="A22" s="278"/>
      <c r="B22" s="79" t="s">
        <v>68</v>
      </c>
      <c r="C22" s="43" t="s">
        <v>1769</v>
      </c>
    </row>
    <row r="23" spans="1:3" ht="18.75">
      <c r="A23" s="278"/>
      <c r="B23" s="79" t="s">
        <v>90</v>
      </c>
      <c r="C23" s="43" t="s">
        <v>1717</v>
      </c>
    </row>
    <row r="24" spans="1:3" ht="18.75">
      <c r="A24" s="278"/>
      <c r="B24" s="78" t="s">
        <v>1</v>
      </c>
      <c r="C24" s="41" t="s">
        <v>519</v>
      </c>
    </row>
    <row r="25" spans="1:3" ht="19.5" customHeight="1">
      <c r="A25" s="278"/>
      <c r="B25" s="79" t="s">
        <v>69</v>
      </c>
      <c r="C25" s="44" t="s">
        <v>1718</v>
      </c>
    </row>
    <row r="26" spans="1:3" ht="18.75">
      <c r="A26" s="278"/>
      <c r="B26" s="79" t="s">
        <v>70</v>
      </c>
      <c r="C26" s="44" t="s">
        <v>1700</v>
      </c>
    </row>
    <row r="27" spans="1:3" ht="18.75">
      <c r="A27" s="278"/>
      <c r="B27" s="79" t="s">
        <v>71</v>
      </c>
      <c r="C27" s="44" t="s">
        <v>1700</v>
      </c>
    </row>
    <row r="28" spans="1:3" ht="37.5">
      <c r="A28" s="278"/>
      <c r="B28" s="78" t="s">
        <v>17</v>
      </c>
      <c r="C28" s="43" t="s">
        <v>1699</v>
      </c>
    </row>
    <row r="29" spans="1:3" ht="18.75">
      <c r="A29" s="278"/>
      <c r="B29" s="78" t="s">
        <v>13</v>
      </c>
      <c r="C29" s="43" t="s">
        <v>38</v>
      </c>
    </row>
    <row r="30" spans="1:3" ht="18.75">
      <c r="A30" s="278"/>
      <c r="B30" s="78" t="s">
        <v>18</v>
      </c>
      <c r="C30" s="43" t="s">
        <v>1719</v>
      </c>
    </row>
    <row r="31" spans="1:3" ht="18.75">
      <c r="A31" s="278"/>
      <c r="B31" s="78" t="s">
        <v>14</v>
      </c>
      <c r="C31" s="41" t="s">
        <v>1720</v>
      </c>
    </row>
    <row r="32" spans="1:3" ht="37.5">
      <c r="A32" s="265"/>
      <c r="B32" s="78" t="s">
        <v>23</v>
      </c>
      <c r="C32" s="43" t="s">
        <v>1721</v>
      </c>
    </row>
    <row r="33" spans="1:3" ht="18.75">
      <c r="A33" s="259" t="s">
        <v>29</v>
      </c>
      <c r="B33" s="80" t="s">
        <v>26</v>
      </c>
      <c r="C33" s="43" t="s">
        <v>38</v>
      </c>
    </row>
    <row r="34" spans="1:3" ht="18.75">
      <c r="A34" s="278"/>
      <c r="B34" s="80" t="s">
        <v>19</v>
      </c>
      <c r="C34" s="45" t="s">
        <v>38</v>
      </c>
    </row>
    <row r="35" spans="1:3" ht="18.75">
      <c r="A35" s="278"/>
      <c r="B35" s="81" t="s">
        <v>72</v>
      </c>
      <c r="C35" s="45" t="s">
        <v>1701</v>
      </c>
    </row>
    <row r="36" spans="1:3" ht="18.75">
      <c r="A36" s="278"/>
      <c r="B36" s="80" t="s">
        <v>20</v>
      </c>
      <c r="C36" s="43" t="s">
        <v>38</v>
      </c>
    </row>
    <row r="37" spans="1:3" ht="18.75">
      <c r="A37" s="278"/>
      <c r="B37" s="80" t="s">
        <v>15</v>
      </c>
      <c r="C37" s="43" t="s">
        <v>39</v>
      </c>
    </row>
    <row r="38" spans="1:3" ht="18.75">
      <c r="A38" s="278"/>
      <c r="B38" s="79" t="s">
        <v>74</v>
      </c>
      <c r="C38" s="43" t="s">
        <v>92</v>
      </c>
    </row>
    <row r="39" spans="1:3" ht="18.75">
      <c r="A39" s="278"/>
      <c r="B39" s="79" t="s">
        <v>75</v>
      </c>
      <c r="C39" s="43" t="s">
        <v>1722</v>
      </c>
    </row>
    <row r="40" spans="1:3" ht="18.75">
      <c r="A40" s="278"/>
      <c r="B40" s="80" t="s">
        <v>21</v>
      </c>
      <c r="C40" s="43" t="s">
        <v>40</v>
      </c>
    </row>
    <row r="41" spans="1:3" ht="18.75">
      <c r="A41" s="278"/>
      <c r="B41" s="80" t="s">
        <v>73</v>
      </c>
      <c r="C41" s="45" t="s">
        <v>311</v>
      </c>
    </row>
    <row r="42" spans="1:3" ht="56.25">
      <c r="A42" s="278"/>
      <c r="B42" s="80" t="s">
        <v>22</v>
      </c>
      <c r="C42" s="43" t="s">
        <v>1724</v>
      </c>
    </row>
    <row r="43" spans="1:3" ht="18.75">
      <c r="A43" s="278"/>
      <c r="B43" s="80" t="s">
        <v>24</v>
      </c>
      <c r="C43" s="43" t="s">
        <v>1725</v>
      </c>
    </row>
    <row r="44" spans="1:3" ht="18.75">
      <c r="A44" s="265"/>
      <c r="B44" s="80" t="s">
        <v>25</v>
      </c>
      <c r="C44" s="43" t="s">
        <v>1725</v>
      </c>
    </row>
    <row r="45" spans="1:3">
      <c r="A45" s="258" t="s">
        <v>37</v>
      </c>
      <c r="B45" s="82" t="s">
        <v>30</v>
      </c>
      <c r="C45" s="37" t="s">
        <v>753</v>
      </c>
    </row>
    <row r="46" spans="1:3" ht="135">
      <c r="A46" s="278"/>
      <c r="B46" s="82" t="s">
        <v>31</v>
      </c>
      <c r="C46" s="37" t="s">
        <v>1726</v>
      </c>
    </row>
    <row r="47" spans="1:3">
      <c r="A47" s="278"/>
      <c r="B47" s="82" t="s">
        <v>36</v>
      </c>
      <c r="C47" s="37" t="s">
        <v>753</v>
      </c>
    </row>
    <row r="48" spans="1:3" ht="18" customHeight="1">
      <c r="A48" s="265"/>
      <c r="B48" s="82" t="s">
        <v>86</v>
      </c>
      <c r="C48" s="37" t="s">
        <v>38</v>
      </c>
    </row>
    <row r="49" spans="2:13" ht="18.75">
      <c r="B49" s="78" t="s">
        <v>215</v>
      </c>
      <c r="C49" s="43" t="s">
        <v>38</v>
      </c>
    </row>
    <row r="50" spans="2:13" ht="18.75">
      <c r="B50" s="76" t="s">
        <v>216</v>
      </c>
      <c r="C50" s="43" t="s">
        <v>38</v>
      </c>
    </row>
    <row r="51" spans="2:13" ht="18.75">
      <c r="B51" s="77" t="s">
        <v>217</v>
      </c>
      <c r="C51" s="43" t="s">
        <v>38</v>
      </c>
    </row>
    <row r="52" spans="2:13" ht="18.75">
      <c r="B52" s="77" t="s">
        <v>232</v>
      </c>
      <c r="C52" s="45" t="s">
        <v>519</v>
      </c>
    </row>
    <row r="53" spans="2:13" ht="18.75">
      <c r="B53" s="77" t="s">
        <v>233</v>
      </c>
      <c r="C53" s="45" t="s">
        <v>519</v>
      </c>
    </row>
    <row r="54" spans="2:13">
      <c r="B54" s="69" t="s">
        <v>230</v>
      </c>
      <c r="C54" s="83">
        <v>45267.688217592593</v>
      </c>
    </row>
    <row r="55" spans="2:13">
      <c r="B55" s="69" t="s">
        <v>231</v>
      </c>
      <c r="C55" s="84">
        <v>45932.694189814814</v>
      </c>
    </row>
    <row r="56" spans="2:13">
      <c r="B56" s="186" t="s">
        <v>228</v>
      </c>
      <c r="C56" s="190" t="s">
        <v>1727</v>
      </c>
    </row>
    <row r="57" spans="2:13">
      <c r="B57" s="187"/>
      <c r="C57" s="277"/>
    </row>
    <row r="58" spans="2:13">
      <c r="B58" s="187"/>
      <c r="C58" s="277"/>
    </row>
    <row r="59" spans="2:13">
      <c r="B59" s="187"/>
      <c r="C59" s="277"/>
    </row>
    <row r="60" spans="2:13" ht="18.75">
      <c r="B60" s="69" t="s">
        <v>547</v>
      </c>
      <c r="C60" s="71" t="s">
        <v>1722</v>
      </c>
    </row>
    <row r="61" spans="2:13" ht="17.45" customHeight="1">
      <c r="B61" s="69" t="s">
        <v>548</v>
      </c>
      <c r="C61" s="148" t="s">
        <v>1723</v>
      </c>
    </row>
    <row r="62" spans="2:13">
      <c r="B62" s="69" t="s">
        <v>1676</v>
      </c>
      <c r="C62" s="148" t="s">
        <v>1730</v>
      </c>
    </row>
    <row r="64" spans="2:13" ht="6" customHeight="1" thickBot="1">
      <c r="G64" s="88"/>
      <c r="H64" s="89"/>
      <c r="I64" s="89"/>
      <c r="K64" s="88"/>
      <c r="L64" s="89"/>
      <c r="M64" s="89"/>
    </row>
    <row r="65" spans="2:12" ht="16.5" customHeight="1" thickTop="1" thickBot="1">
      <c r="G65" s="90"/>
      <c r="H65" s="91" t="s">
        <v>525</v>
      </c>
      <c r="K65" s="90"/>
      <c r="L65" s="91" t="s">
        <v>576</v>
      </c>
    </row>
    <row r="66" spans="2:12" ht="16.5" customHeight="1" thickTop="1" thickBot="1">
      <c r="G66" s="90"/>
      <c r="H66" s="92">
        <f ca="1">TODAY()</f>
        <v>45933</v>
      </c>
      <c r="K66" s="90"/>
      <c r="L66" s="92">
        <f ca="1">TODAY()</f>
        <v>45933</v>
      </c>
    </row>
    <row r="67" spans="2:12" ht="16.5" customHeight="1" thickTop="1" thickBot="1">
      <c r="G67" s="90"/>
      <c r="H67" s="93" t="str">
        <f>C44</f>
        <v>AA</v>
      </c>
      <c r="K67" s="90"/>
      <c r="L67" s="93" t="str">
        <f>C43</f>
        <v>AA</v>
      </c>
    </row>
    <row r="68" spans="2:12" ht="6" customHeight="1" thickTop="1">
      <c r="G68" s="90"/>
      <c r="K68" s="90"/>
    </row>
    <row r="74" spans="2:12" ht="18.75">
      <c r="B74" s="36"/>
    </row>
    <row r="75" spans="2:12" ht="18.75">
      <c r="B75" s="36"/>
    </row>
    <row r="76" spans="2:12" ht="18.75">
      <c r="B76" s="36"/>
    </row>
    <row r="77" spans="2:12" ht="18.75">
      <c r="B77" s="36"/>
    </row>
    <row r="78" spans="2:12" ht="18.75">
      <c r="B78" s="36"/>
    </row>
  </sheetData>
  <sheetProtection formatCells="0" formatColumns="0" formatRows="0" insertHyperlinks="0" selectLockedCells="1"/>
  <mergeCells count="8">
    <mergeCell ref="B56:B59"/>
    <mergeCell ref="C56:C59"/>
    <mergeCell ref="A3:A7"/>
    <mergeCell ref="A8:A12"/>
    <mergeCell ref="A13:A19"/>
    <mergeCell ref="A33:A44"/>
    <mergeCell ref="A45:A48"/>
    <mergeCell ref="A20:A32"/>
  </mergeCells>
  <phoneticPr fontId="5"/>
  <pageMargins left="0.31496062992125984" right="0.31496062992125984" top="0.35433070866141736" bottom="0.15748031496062992" header="0.31496062992125984" footer="0.31496062992125984"/>
  <pageSetup paperSize="9" scale="56"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361" r:id="rId4" name="Button 1">
              <controlPr defaultSize="0" print="0" autoFill="0" autoPict="0" macro="[0]!initializer">
                <anchor moveWithCells="1" sizeWithCells="1">
                  <from>
                    <xdr:col>1</xdr:col>
                    <xdr:colOff>2181225</xdr:colOff>
                    <xdr:row>0</xdr:row>
                    <xdr:rowOff>0</xdr:rowOff>
                  </from>
                  <to>
                    <xdr:col>2</xdr:col>
                    <xdr:colOff>0</xdr:colOff>
                    <xdr:row>3</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7D12B9-3B96-4751-8382-A4039D33A1E9}">
  <sheetPr codeName="Sheet1">
    <pageSetUpPr fitToPage="1"/>
  </sheetPr>
  <dimension ref="B1:CV64"/>
  <sheetViews>
    <sheetView showGridLines="0" view="pageBreakPreview" zoomScale="85" zoomScaleNormal="85" zoomScaleSheetLayoutView="85" workbookViewId="0">
      <selection activeCell="B2" sqref="B2:CB2"/>
    </sheetView>
  </sheetViews>
  <sheetFormatPr defaultColWidth="9" defaultRowHeight="18.75"/>
  <cols>
    <col min="1" max="102" width="1.25" style="149" customWidth="1"/>
    <col min="103" max="130" width="1.375" style="149" customWidth="1"/>
    <col min="131" max="16384" width="9" style="149"/>
  </cols>
  <sheetData>
    <row r="1" spans="2:100" ht="7.5" customHeight="1"/>
    <row r="2" spans="2:100">
      <c r="B2" s="309" t="s">
        <v>559</v>
      </c>
      <c r="C2" s="309"/>
      <c r="D2" s="309"/>
      <c r="E2" s="309"/>
      <c r="F2" s="309"/>
      <c r="G2" s="309"/>
      <c r="H2" s="309"/>
      <c r="I2" s="309"/>
      <c r="J2" s="309"/>
      <c r="K2" s="309"/>
      <c r="L2" s="309"/>
      <c r="M2" s="309"/>
      <c r="N2" s="309"/>
      <c r="O2" s="309"/>
      <c r="P2" s="309"/>
      <c r="Q2" s="309"/>
      <c r="R2" s="309"/>
      <c r="S2" s="309"/>
      <c r="T2" s="309"/>
      <c r="U2" s="309"/>
      <c r="V2" s="309"/>
      <c r="W2" s="309"/>
      <c r="X2" s="309"/>
      <c r="Y2" s="309"/>
      <c r="Z2" s="309"/>
      <c r="AA2" s="309"/>
      <c r="AB2" s="309"/>
      <c r="AC2" s="309"/>
      <c r="AD2" s="309"/>
      <c r="AE2" s="309"/>
      <c r="AF2" s="309"/>
      <c r="AG2" s="309"/>
      <c r="AH2" s="309"/>
      <c r="AI2" s="309"/>
      <c r="AJ2" s="309"/>
      <c r="AK2" s="309"/>
      <c r="AL2" s="309"/>
      <c r="AM2" s="309"/>
      <c r="AN2" s="309"/>
      <c r="AO2" s="309"/>
      <c r="AP2" s="309"/>
      <c r="AQ2" s="309"/>
      <c r="AR2" s="309"/>
      <c r="AS2" s="309"/>
      <c r="AT2" s="309"/>
      <c r="AU2" s="309"/>
      <c r="AV2" s="309"/>
      <c r="AW2" s="309"/>
      <c r="AX2" s="309"/>
      <c r="AY2" s="309"/>
      <c r="AZ2" s="309"/>
      <c r="BA2" s="309"/>
      <c r="BB2" s="309"/>
      <c r="BC2" s="309"/>
      <c r="BD2" s="309"/>
      <c r="BE2" s="309"/>
      <c r="BF2" s="309"/>
      <c r="BG2" s="309"/>
      <c r="BH2" s="309"/>
      <c r="BI2" s="309"/>
      <c r="BJ2" s="309"/>
      <c r="BK2" s="309"/>
      <c r="BL2" s="309"/>
      <c r="BM2" s="309"/>
      <c r="BN2" s="309"/>
      <c r="BO2" s="309"/>
      <c r="BP2" s="309"/>
      <c r="BQ2" s="309"/>
      <c r="BR2" s="309"/>
      <c r="BS2" s="309"/>
      <c r="BT2" s="309"/>
      <c r="BU2" s="309"/>
      <c r="BV2" s="309"/>
      <c r="BW2" s="309"/>
      <c r="BX2" s="309"/>
      <c r="BY2" s="309"/>
      <c r="BZ2" s="309"/>
      <c r="CA2" s="309"/>
      <c r="CB2" s="309"/>
      <c r="CC2" s="309" t="s">
        <v>560</v>
      </c>
      <c r="CD2" s="309"/>
      <c r="CE2" s="309"/>
      <c r="CF2" s="309"/>
      <c r="CG2" s="309"/>
      <c r="CH2" s="309"/>
      <c r="CI2" s="309"/>
      <c r="CJ2" s="309"/>
      <c r="CK2" s="309"/>
      <c r="CL2" s="309" t="s">
        <v>561</v>
      </c>
      <c r="CM2" s="309"/>
      <c r="CN2" s="309"/>
      <c r="CO2" s="309"/>
      <c r="CP2" s="309"/>
      <c r="CQ2" s="309"/>
      <c r="CR2" s="309"/>
      <c r="CS2" s="309"/>
      <c r="CT2" s="309"/>
      <c r="CU2" s="309"/>
      <c r="CV2" s="309"/>
    </row>
    <row r="3" spans="2:100">
      <c r="B3" s="309" t="s">
        <v>562</v>
      </c>
      <c r="C3" s="309"/>
      <c r="D3" s="309"/>
      <c r="E3" s="309"/>
      <c r="F3" s="309"/>
      <c r="G3" s="309"/>
      <c r="H3" s="309"/>
      <c r="I3" s="309"/>
      <c r="J3" s="309"/>
      <c r="K3" s="309"/>
      <c r="L3" s="309"/>
      <c r="M3" s="309"/>
      <c r="N3" s="309"/>
      <c r="O3" s="309"/>
      <c r="P3" s="309"/>
      <c r="Q3" s="309"/>
      <c r="R3" s="309"/>
      <c r="S3" s="309"/>
      <c r="T3" s="309"/>
      <c r="U3" s="309"/>
      <c r="V3" s="309"/>
      <c r="W3" s="309"/>
      <c r="X3" s="309"/>
      <c r="Y3" s="309"/>
      <c r="Z3" s="309"/>
      <c r="AA3" s="309"/>
      <c r="AB3" s="309"/>
      <c r="AC3" s="309"/>
      <c r="AD3" s="309"/>
      <c r="AE3" s="309"/>
      <c r="AF3" s="309"/>
      <c r="AG3" s="309"/>
      <c r="AH3" s="309"/>
      <c r="AI3" s="309"/>
      <c r="AJ3" s="309"/>
      <c r="AK3" s="309"/>
      <c r="AL3" s="309"/>
      <c r="AM3" s="309"/>
      <c r="AN3" s="309"/>
      <c r="AO3" s="309"/>
      <c r="AP3" s="309"/>
      <c r="AQ3" s="309"/>
      <c r="AR3" s="309"/>
      <c r="AS3" s="309"/>
      <c r="AT3" s="309"/>
      <c r="AU3" s="309"/>
      <c r="AV3" s="309"/>
      <c r="AW3" s="309"/>
      <c r="AX3" s="309"/>
      <c r="AY3" s="309"/>
      <c r="AZ3" s="309"/>
      <c r="BA3" s="309"/>
      <c r="BB3" s="309"/>
      <c r="BC3" s="309"/>
      <c r="BD3" s="309"/>
      <c r="BE3" s="309"/>
      <c r="BF3" s="309"/>
      <c r="BG3" s="309"/>
      <c r="BH3" s="309"/>
      <c r="BI3" s="309"/>
      <c r="BJ3" s="309"/>
      <c r="BK3" s="309"/>
      <c r="BL3" s="309"/>
      <c r="BM3" s="309"/>
      <c r="BN3" s="309"/>
      <c r="BO3" s="309"/>
      <c r="BP3" s="309"/>
      <c r="BQ3" s="309"/>
      <c r="BR3" s="309"/>
      <c r="BS3" s="309"/>
      <c r="BT3" s="309"/>
      <c r="BU3" s="309"/>
      <c r="BV3" s="309"/>
      <c r="BW3" s="309"/>
      <c r="BX3" s="309"/>
      <c r="BY3" s="309"/>
      <c r="BZ3" s="309"/>
      <c r="CA3" s="309"/>
      <c r="CB3" s="309"/>
      <c r="CC3" s="312" t="s">
        <v>563</v>
      </c>
      <c r="CD3" s="312"/>
      <c r="CE3" s="312"/>
      <c r="CF3" s="312"/>
      <c r="CG3" s="312"/>
      <c r="CH3" s="312"/>
      <c r="CI3" s="312"/>
      <c r="CJ3" s="312"/>
      <c r="CK3" s="312"/>
      <c r="CL3" s="312" t="s">
        <v>564</v>
      </c>
      <c r="CM3" s="312"/>
      <c r="CN3" s="312"/>
      <c r="CO3" s="312"/>
      <c r="CP3" s="312"/>
      <c r="CQ3" s="312"/>
      <c r="CR3" s="312"/>
      <c r="CS3" s="312"/>
      <c r="CT3" s="312"/>
      <c r="CU3" s="312"/>
      <c r="CV3" s="312"/>
    </row>
    <row r="4" spans="2:100">
      <c r="B4" s="309" t="s">
        <v>565</v>
      </c>
      <c r="C4" s="309"/>
      <c r="D4" s="309"/>
      <c r="E4" s="309"/>
      <c r="F4" s="309"/>
      <c r="G4" s="309"/>
      <c r="H4" s="309"/>
      <c r="I4" s="309"/>
      <c r="J4" s="309"/>
      <c r="K4" s="309"/>
      <c r="L4" s="309"/>
      <c r="M4" s="309"/>
      <c r="N4" s="309"/>
      <c r="O4" s="309"/>
      <c r="P4" s="309"/>
      <c r="Q4" s="309"/>
      <c r="R4" s="309"/>
      <c r="S4" s="309"/>
      <c r="T4" s="309"/>
      <c r="U4" s="309"/>
      <c r="V4" s="309"/>
      <c r="W4" s="309"/>
      <c r="X4" s="309"/>
      <c r="Y4" s="309"/>
      <c r="Z4" s="309"/>
      <c r="AA4" s="309"/>
      <c r="AB4" s="309"/>
      <c r="AC4" s="309"/>
      <c r="AD4" s="309"/>
      <c r="AE4" s="309"/>
      <c r="AF4" s="309"/>
      <c r="AG4" s="309"/>
      <c r="AH4" s="309"/>
      <c r="AI4" s="309"/>
      <c r="AJ4" s="309"/>
      <c r="AK4" s="309"/>
      <c r="AL4" s="309"/>
      <c r="AM4" s="309"/>
      <c r="AN4" s="309"/>
      <c r="AO4" s="309"/>
      <c r="AP4" s="309"/>
      <c r="AQ4" s="309"/>
      <c r="AR4" s="309"/>
      <c r="AS4" s="309"/>
      <c r="AT4" s="309"/>
      <c r="AU4" s="309"/>
      <c r="AV4" s="309"/>
      <c r="AW4" s="309"/>
      <c r="AX4" s="309"/>
      <c r="AY4" s="309"/>
      <c r="AZ4" s="309"/>
      <c r="BA4" s="309"/>
      <c r="BB4" s="309"/>
      <c r="BC4" s="309"/>
      <c r="BD4" s="309" t="s">
        <v>566</v>
      </c>
      <c r="BE4" s="309"/>
      <c r="BF4" s="309"/>
      <c r="BG4" s="309"/>
      <c r="BH4" s="309"/>
      <c r="BI4" s="309"/>
      <c r="BJ4" s="309"/>
      <c r="BK4" s="309"/>
      <c r="BL4" s="309"/>
      <c r="BM4" s="309"/>
      <c r="BN4" s="309"/>
      <c r="BO4" s="309"/>
      <c r="BP4" s="309"/>
      <c r="BQ4" s="309"/>
      <c r="BR4" s="309"/>
      <c r="BS4" s="309"/>
      <c r="BT4" s="309"/>
      <c r="BU4" s="309"/>
      <c r="BV4" s="309"/>
      <c r="BW4" s="309"/>
      <c r="BX4" s="309"/>
      <c r="BY4" s="309"/>
      <c r="BZ4" s="309"/>
      <c r="CA4" s="309"/>
      <c r="CB4" s="309"/>
      <c r="CC4" s="309" t="s">
        <v>567</v>
      </c>
      <c r="CD4" s="309"/>
      <c r="CE4" s="309"/>
      <c r="CF4" s="309"/>
      <c r="CG4" s="309"/>
      <c r="CH4" s="309"/>
      <c r="CI4" s="309"/>
      <c r="CJ4" s="309"/>
      <c r="CK4" s="309"/>
      <c r="CL4" s="309" t="s">
        <v>568</v>
      </c>
      <c r="CM4" s="309"/>
      <c r="CN4" s="309"/>
      <c r="CO4" s="309"/>
      <c r="CP4" s="309"/>
      <c r="CQ4" s="309"/>
      <c r="CR4" s="309"/>
      <c r="CS4" s="309"/>
      <c r="CT4" s="309"/>
      <c r="CU4" s="309"/>
      <c r="CV4" s="309"/>
    </row>
    <row r="5" spans="2:100">
      <c r="B5" s="309" t="s">
        <v>569</v>
      </c>
      <c r="C5" s="309"/>
      <c r="D5" s="309"/>
      <c r="E5" s="309"/>
      <c r="F5" s="309"/>
      <c r="G5" s="309"/>
      <c r="H5" s="309"/>
      <c r="I5" s="309"/>
      <c r="J5" s="309"/>
      <c r="K5" s="309"/>
      <c r="L5" s="309"/>
      <c r="M5" s="309"/>
      <c r="N5" s="309"/>
      <c r="O5" s="309"/>
      <c r="P5" s="309"/>
      <c r="Q5" s="309"/>
      <c r="R5" s="309"/>
      <c r="S5" s="309"/>
      <c r="T5" s="309"/>
      <c r="U5" s="309"/>
      <c r="V5" s="309"/>
      <c r="W5" s="309"/>
      <c r="X5" s="309"/>
      <c r="Y5" s="309"/>
      <c r="Z5" s="309"/>
      <c r="AA5" s="309"/>
      <c r="AB5" s="309"/>
      <c r="AC5" s="309"/>
      <c r="AD5" s="309"/>
      <c r="AE5" s="309"/>
      <c r="AF5" s="309"/>
      <c r="AG5" s="309"/>
      <c r="AH5" s="309"/>
      <c r="AI5" s="309"/>
      <c r="AJ5" s="309"/>
      <c r="AK5" s="309"/>
      <c r="AL5" s="309"/>
      <c r="AM5" s="309"/>
      <c r="AN5" s="309"/>
      <c r="AO5" s="309"/>
      <c r="AP5" s="309"/>
      <c r="AQ5" s="309"/>
      <c r="AR5" s="309"/>
      <c r="AS5" s="309"/>
      <c r="AT5" s="309"/>
      <c r="AU5" s="309"/>
      <c r="AV5" s="309"/>
      <c r="AW5" s="309"/>
      <c r="AX5" s="309"/>
      <c r="AY5" s="309"/>
      <c r="AZ5" s="309"/>
      <c r="BA5" s="309"/>
      <c r="BB5" s="309"/>
      <c r="BC5" s="309"/>
      <c r="BD5" s="310" t="s">
        <v>1733</v>
      </c>
      <c r="BE5" s="309"/>
      <c r="BF5" s="309"/>
      <c r="BG5" s="309"/>
      <c r="BH5" s="309"/>
      <c r="BI5" s="309"/>
      <c r="BJ5" s="309"/>
      <c r="BK5" s="309"/>
      <c r="BL5" s="309"/>
      <c r="BM5" s="309"/>
      <c r="BN5" s="309"/>
      <c r="BO5" s="309"/>
      <c r="BP5" s="309"/>
      <c r="BQ5" s="309"/>
      <c r="BR5" s="309"/>
      <c r="BS5" s="309"/>
      <c r="BT5" s="309"/>
      <c r="BU5" s="309"/>
      <c r="BV5" s="309"/>
      <c r="BW5" s="309"/>
      <c r="BX5" s="309"/>
      <c r="BY5" s="309"/>
      <c r="BZ5" s="309"/>
      <c r="CA5" s="309"/>
      <c r="CB5" s="309"/>
      <c r="CC5" s="311" t="s">
        <v>1734</v>
      </c>
      <c r="CD5" s="312"/>
      <c r="CE5" s="312"/>
      <c r="CF5" s="312"/>
      <c r="CG5" s="312"/>
      <c r="CH5" s="312"/>
      <c r="CI5" s="312"/>
      <c r="CJ5" s="312"/>
      <c r="CK5" s="312"/>
      <c r="CL5" s="311" t="s">
        <v>1734</v>
      </c>
      <c r="CM5" s="312"/>
      <c r="CN5" s="312"/>
      <c r="CO5" s="312"/>
      <c r="CP5" s="312"/>
      <c r="CQ5" s="312"/>
      <c r="CR5" s="312"/>
      <c r="CS5" s="312"/>
      <c r="CT5" s="312"/>
      <c r="CU5" s="312"/>
      <c r="CV5" s="312"/>
    </row>
    <row r="6" spans="2:100">
      <c r="B6" s="309" t="s">
        <v>570</v>
      </c>
      <c r="C6" s="309"/>
      <c r="D6" s="309"/>
      <c r="E6" s="309"/>
      <c r="F6" s="309"/>
      <c r="G6" s="309"/>
      <c r="H6" s="309"/>
      <c r="I6" s="309"/>
      <c r="J6" s="309"/>
      <c r="K6" s="309"/>
      <c r="L6" s="309"/>
      <c r="M6" s="309"/>
      <c r="N6" s="309"/>
      <c r="O6" s="309"/>
      <c r="P6" s="309"/>
      <c r="Q6" s="309"/>
      <c r="R6" s="309"/>
      <c r="S6" s="309"/>
      <c r="T6" s="309"/>
      <c r="U6" s="309"/>
      <c r="V6" s="309"/>
      <c r="W6" s="309"/>
      <c r="X6" s="309"/>
      <c r="Y6" s="309"/>
      <c r="Z6" s="309"/>
      <c r="AA6" s="309"/>
      <c r="AB6" s="309"/>
      <c r="AC6" s="309"/>
      <c r="AD6" s="309"/>
      <c r="AE6" s="309"/>
      <c r="AF6" s="309"/>
      <c r="AG6" s="309"/>
      <c r="AH6" s="309"/>
      <c r="AI6" s="309"/>
      <c r="AJ6" s="309"/>
      <c r="AK6" s="309"/>
      <c r="AL6" s="309"/>
      <c r="AM6" s="309"/>
      <c r="AN6" s="309"/>
      <c r="AO6" s="309"/>
      <c r="AP6" s="309"/>
      <c r="AQ6" s="309"/>
      <c r="AR6" s="309"/>
      <c r="AS6" s="309"/>
      <c r="AT6" s="309"/>
      <c r="AU6" s="309"/>
      <c r="AV6" s="309"/>
      <c r="AW6" s="309"/>
      <c r="AX6" s="309"/>
      <c r="AY6" s="309"/>
      <c r="AZ6" s="309"/>
      <c r="BA6" s="309"/>
      <c r="BB6" s="309"/>
      <c r="BC6" s="309"/>
      <c r="BD6" s="309"/>
      <c r="BE6" s="309"/>
      <c r="BF6" s="309"/>
      <c r="BG6" s="309"/>
      <c r="BH6" s="309"/>
      <c r="BI6" s="309"/>
      <c r="BJ6" s="309"/>
      <c r="BK6" s="309"/>
      <c r="BL6" s="309"/>
      <c r="BM6" s="309"/>
      <c r="BN6" s="309"/>
      <c r="BO6" s="309"/>
      <c r="BP6" s="309"/>
      <c r="BQ6" s="309"/>
      <c r="BR6" s="309"/>
      <c r="BS6" s="309"/>
      <c r="BT6" s="309"/>
      <c r="BU6" s="309"/>
      <c r="BV6" s="309"/>
      <c r="BW6" s="309"/>
      <c r="BX6" s="309"/>
      <c r="BY6" s="309"/>
      <c r="BZ6" s="309"/>
      <c r="CA6" s="309"/>
      <c r="CB6" s="309"/>
      <c r="CC6" s="309"/>
      <c r="CD6" s="309"/>
      <c r="CE6" s="309"/>
      <c r="CF6" s="309"/>
      <c r="CG6" s="309"/>
      <c r="CH6" s="309"/>
      <c r="CI6" s="309"/>
      <c r="CJ6" s="309"/>
      <c r="CK6" s="309"/>
      <c r="CL6" s="309"/>
      <c r="CM6" s="309"/>
      <c r="CN6" s="309"/>
      <c r="CO6" s="309"/>
      <c r="CP6" s="309"/>
      <c r="CQ6" s="309"/>
      <c r="CR6" s="309"/>
      <c r="CS6" s="309"/>
      <c r="CT6" s="309"/>
      <c r="CU6" s="309"/>
      <c r="CV6" s="309"/>
    </row>
    <row r="7" spans="2:100" ht="9.6" customHeight="1" thickBot="1">
      <c r="B7" s="150"/>
      <c r="C7" s="151"/>
      <c r="D7" s="151"/>
      <c r="E7" s="151"/>
      <c r="F7" s="151"/>
      <c r="G7" s="151"/>
      <c r="H7" s="151"/>
      <c r="I7" s="151"/>
      <c r="J7" s="151"/>
      <c r="K7" s="151"/>
      <c r="L7" s="151"/>
      <c r="M7" s="151"/>
      <c r="N7" s="151"/>
      <c r="O7" s="151"/>
      <c r="P7" s="151"/>
      <c r="Q7" s="151"/>
      <c r="R7" s="151"/>
      <c r="S7" s="151"/>
      <c r="T7" s="151"/>
      <c r="U7" s="151"/>
      <c r="V7" s="151"/>
      <c r="W7" s="151"/>
      <c r="X7" s="151"/>
      <c r="Y7" s="151"/>
      <c r="Z7" s="151"/>
      <c r="AA7" s="151"/>
      <c r="AB7" s="151"/>
      <c r="AC7" s="151"/>
      <c r="AD7" s="151"/>
      <c r="AE7" s="151"/>
      <c r="AF7" s="151"/>
      <c r="AG7" s="151"/>
      <c r="AH7" s="151"/>
      <c r="AI7" s="151"/>
      <c r="AJ7" s="151"/>
      <c r="AK7" s="151"/>
      <c r="AL7" s="151"/>
      <c r="AM7" s="151"/>
      <c r="AN7" s="151"/>
      <c r="AO7" s="151"/>
      <c r="AP7" s="151"/>
      <c r="AQ7" s="151"/>
      <c r="AR7" s="151"/>
      <c r="AS7" s="151"/>
      <c r="AT7" s="151"/>
      <c r="AU7" s="151"/>
      <c r="AV7" s="151"/>
      <c r="AW7" s="151"/>
      <c r="AX7" s="151"/>
      <c r="AY7" s="151"/>
      <c r="AZ7" s="151"/>
      <c r="BA7" s="151"/>
      <c r="BB7" s="151"/>
      <c r="BC7" s="151"/>
      <c r="BD7" s="151"/>
      <c r="BE7" s="151"/>
      <c r="BF7" s="151"/>
      <c r="BG7" s="151"/>
      <c r="BH7" s="151"/>
      <c r="BI7" s="151"/>
      <c r="BJ7" s="151"/>
      <c r="BK7" s="151"/>
      <c r="BL7" s="151"/>
      <c r="BM7" s="151"/>
      <c r="BN7" s="151"/>
      <c r="BO7" s="151"/>
      <c r="BP7" s="151"/>
      <c r="BQ7" s="151"/>
      <c r="BR7" s="151"/>
      <c r="BS7" s="151"/>
      <c r="BT7" s="151"/>
      <c r="BU7" s="151"/>
      <c r="BV7" s="151"/>
      <c r="BW7" s="151"/>
      <c r="BX7" s="151"/>
      <c r="BY7" s="151"/>
      <c r="BZ7" s="151"/>
      <c r="CA7" s="151"/>
      <c r="CB7" s="151"/>
      <c r="CC7" s="151"/>
      <c r="CD7" s="151"/>
      <c r="CE7" s="151"/>
      <c r="CF7" s="151"/>
      <c r="CG7" s="151"/>
      <c r="CH7" s="151"/>
      <c r="CI7" s="151"/>
      <c r="CJ7" s="151"/>
      <c r="CK7" s="151"/>
      <c r="CL7" s="151"/>
      <c r="CM7" s="151"/>
      <c r="CN7" s="151"/>
      <c r="CO7" s="151"/>
      <c r="CP7" s="151"/>
      <c r="CQ7" s="151"/>
      <c r="CR7" s="151"/>
      <c r="CS7" s="151"/>
      <c r="CT7" s="151"/>
      <c r="CU7" s="151"/>
      <c r="CV7" s="151"/>
    </row>
    <row r="8" spans="2:100" ht="9.75" customHeight="1">
      <c r="B8" s="166"/>
      <c r="C8" s="167"/>
      <c r="D8" s="167"/>
      <c r="E8" s="167"/>
      <c r="F8" s="167"/>
      <c r="G8" s="167"/>
      <c r="H8" s="167"/>
      <c r="I8" s="167"/>
      <c r="J8" s="167"/>
      <c r="K8" s="167"/>
      <c r="L8" s="167"/>
      <c r="M8" s="167"/>
      <c r="N8" s="167"/>
      <c r="O8" s="167"/>
      <c r="P8" s="167"/>
      <c r="Q8" s="167"/>
      <c r="R8" s="167"/>
      <c r="S8" s="167"/>
      <c r="T8" s="167"/>
      <c r="U8" s="167"/>
      <c r="V8" s="167"/>
      <c r="W8" s="167"/>
      <c r="X8" s="167"/>
      <c r="Y8" s="167"/>
      <c r="Z8" s="167"/>
      <c r="AA8" s="167"/>
      <c r="AB8" s="167"/>
      <c r="AC8" s="167"/>
      <c r="AD8" s="167"/>
      <c r="AE8" s="167"/>
      <c r="AF8" s="167"/>
      <c r="AG8" s="167"/>
      <c r="AH8" s="167"/>
      <c r="AI8" s="167"/>
      <c r="AJ8" s="167"/>
      <c r="AK8" s="167"/>
      <c r="AL8" s="167"/>
      <c r="AM8" s="167"/>
      <c r="AN8" s="167"/>
      <c r="AO8" s="167"/>
      <c r="AP8" s="167"/>
      <c r="AQ8" s="167"/>
      <c r="AR8" s="167"/>
      <c r="AS8" s="167"/>
      <c r="AT8" s="167"/>
      <c r="AU8" s="167"/>
      <c r="AV8" s="167"/>
      <c r="AW8" s="167"/>
      <c r="AX8" s="167"/>
      <c r="AY8" s="167"/>
      <c r="AZ8" s="167"/>
      <c r="BA8" s="167"/>
      <c r="BB8" s="167"/>
      <c r="BC8" s="167"/>
      <c r="BD8" s="167"/>
      <c r="BE8" s="167"/>
      <c r="BF8" s="167"/>
      <c r="BG8" s="167"/>
      <c r="BH8" s="167"/>
      <c r="BI8" s="167"/>
      <c r="BJ8" s="167"/>
      <c r="BK8" s="167"/>
      <c r="BL8" s="167"/>
      <c r="BM8" s="167"/>
      <c r="BN8" s="167"/>
      <c r="BO8" s="167"/>
      <c r="BP8" s="167"/>
      <c r="BQ8" s="168"/>
      <c r="BR8" s="168"/>
      <c r="BS8" s="168"/>
      <c r="BT8" s="168"/>
      <c r="BU8" s="168"/>
      <c r="BV8" s="168"/>
      <c r="BW8" s="168"/>
      <c r="BX8" s="168"/>
      <c r="BY8" s="168"/>
      <c r="BZ8" s="168"/>
      <c r="CA8" s="168"/>
      <c r="CB8" s="168"/>
      <c r="CC8" s="168"/>
      <c r="CD8" s="168"/>
      <c r="CE8" s="168"/>
      <c r="CF8" s="168"/>
      <c r="CG8" s="168"/>
      <c r="CH8" s="168"/>
      <c r="CI8" s="168"/>
      <c r="CJ8" s="168"/>
      <c r="CK8" s="168"/>
      <c r="CL8" s="168"/>
      <c r="CM8" s="168"/>
      <c r="CN8" s="168"/>
      <c r="CO8" s="168"/>
      <c r="CP8" s="168"/>
      <c r="CQ8" s="168"/>
      <c r="CR8" s="168"/>
      <c r="CS8" s="168"/>
      <c r="CT8" s="168"/>
      <c r="CU8" s="168"/>
      <c r="CV8" s="169"/>
    </row>
    <row r="9" spans="2:100" ht="21" customHeight="1">
      <c r="B9" s="170"/>
      <c r="C9" s="279" t="s">
        <v>1749</v>
      </c>
      <c r="D9" s="280"/>
      <c r="E9" s="280"/>
      <c r="F9" s="280"/>
      <c r="G9" s="280"/>
      <c r="H9" s="280"/>
      <c r="I9" s="280"/>
      <c r="J9" s="280"/>
      <c r="K9" s="280"/>
      <c r="L9" s="280"/>
      <c r="M9" s="280"/>
      <c r="N9" s="280"/>
      <c r="O9" s="280"/>
      <c r="P9" s="280"/>
      <c r="Q9" s="280"/>
      <c r="R9" s="280"/>
      <c r="S9" s="280"/>
      <c r="T9" s="280"/>
      <c r="U9" s="280"/>
      <c r="V9" s="280"/>
      <c r="W9" s="280"/>
      <c r="X9" s="280"/>
      <c r="Y9" s="281"/>
      <c r="Z9" s="281"/>
      <c r="AA9" s="281"/>
      <c r="AB9" s="281"/>
      <c r="AC9" s="281"/>
      <c r="AD9" s="281"/>
      <c r="AE9" s="281"/>
      <c r="AF9" s="281"/>
      <c r="AG9" s="281"/>
      <c r="AH9" s="281"/>
      <c r="AI9" s="281"/>
      <c r="AJ9" s="281"/>
      <c r="AK9" s="281"/>
      <c r="AL9" s="281"/>
      <c r="AM9" s="281"/>
      <c r="AN9" s="281"/>
      <c r="AO9" s="281"/>
      <c r="AP9" s="281"/>
      <c r="AQ9" s="281"/>
      <c r="AR9" s="281"/>
      <c r="AS9" s="281"/>
      <c r="AT9" s="281"/>
      <c r="AU9" s="281"/>
      <c r="AV9" s="281"/>
      <c r="AW9" s="281"/>
      <c r="AX9" s="281"/>
      <c r="AY9" s="281"/>
      <c r="AZ9" s="281"/>
      <c r="BA9" s="281"/>
      <c r="BB9" s="281"/>
      <c r="BC9" s="281"/>
      <c r="BD9" s="281"/>
      <c r="BE9" s="281"/>
      <c r="BF9" s="281"/>
      <c r="BG9" s="281"/>
      <c r="BH9" s="281"/>
      <c r="BI9" s="281"/>
      <c r="BJ9" s="281"/>
      <c r="BK9" s="281"/>
      <c r="BL9" s="281"/>
      <c r="BM9" s="281"/>
      <c r="BN9" s="281"/>
      <c r="BO9" s="281"/>
      <c r="BP9" s="281"/>
      <c r="BQ9" s="281"/>
      <c r="BR9" s="281"/>
      <c r="BS9" s="171"/>
      <c r="BT9" s="307"/>
      <c r="BU9" s="308"/>
      <c r="BV9" s="308"/>
      <c r="BW9" s="308"/>
      <c r="BX9" s="308"/>
      <c r="BY9" s="308"/>
      <c r="BZ9" s="308"/>
      <c r="CA9" s="308"/>
      <c r="CB9" s="308"/>
      <c r="CC9" s="308"/>
      <c r="CD9" s="308"/>
      <c r="CE9" s="172"/>
      <c r="CF9" s="172"/>
      <c r="CG9" s="172"/>
      <c r="CH9" s="172"/>
      <c r="CI9" s="172"/>
      <c r="CJ9" s="172"/>
      <c r="CK9" s="172"/>
      <c r="CL9" s="172"/>
      <c r="CM9" s="172"/>
      <c r="CN9" s="172"/>
      <c r="CO9" s="172"/>
      <c r="CP9" s="172"/>
      <c r="CQ9" s="172"/>
      <c r="CR9" s="172"/>
      <c r="CS9" s="172"/>
      <c r="CT9" s="172"/>
      <c r="CU9" s="172"/>
      <c r="CV9" s="173"/>
    </row>
    <row r="10" spans="2:100" ht="21" customHeight="1">
      <c r="B10" s="170"/>
      <c r="C10" s="302" t="s">
        <v>1735</v>
      </c>
      <c r="D10" s="303"/>
      <c r="E10" s="303"/>
      <c r="F10" s="303"/>
      <c r="G10" s="303"/>
      <c r="H10" s="303"/>
      <c r="I10" s="303"/>
      <c r="J10" s="303"/>
      <c r="K10" s="303"/>
      <c r="L10" s="303"/>
      <c r="M10" s="303"/>
      <c r="N10" s="303"/>
      <c r="O10" s="298" t="s">
        <v>1716</v>
      </c>
      <c r="P10" s="299"/>
      <c r="Q10" s="299"/>
      <c r="R10" s="299"/>
      <c r="S10" s="299"/>
      <c r="T10" s="299"/>
      <c r="U10" s="299"/>
      <c r="V10" s="299"/>
      <c r="W10" s="299"/>
      <c r="X10" s="299"/>
      <c r="Y10" s="299"/>
      <c r="Z10" s="299"/>
      <c r="AA10" s="299"/>
      <c r="AB10" s="299"/>
      <c r="AC10" s="299"/>
      <c r="AD10" s="299"/>
      <c r="AE10" s="299"/>
      <c r="AF10" s="299"/>
      <c r="AG10" s="299"/>
      <c r="AH10" s="299"/>
      <c r="AI10" s="299"/>
      <c r="AJ10" s="299"/>
      <c r="AK10" s="299"/>
      <c r="AL10" s="299"/>
      <c r="AM10" s="299"/>
      <c r="AN10" s="299"/>
      <c r="AO10" s="299"/>
      <c r="AP10" s="299"/>
      <c r="AQ10" s="299"/>
      <c r="AR10" s="299"/>
      <c r="AS10" s="299"/>
      <c r="AT10" s="299"/>
      <c r="AU10" s="299"/>
      <c r="AV10" s="299"/>
      <c r="AW10" s="299"/>
      <c r="AX10" s="299"/>
      <c r="AY10" s="299"/>
      <c r="AZ10" s="299"/>
      <c r="BA10" s="299"/>
      <c r="BB10" s="299"/>
      <c r="BC10" s="299"/>
      <c r="BD10" s="299"/>
      <c r="BE10" s="299"/>
      <c r="BF10" s="299"/>
      <c r="BG10" s="299"/>
      <c r="BH10" s="299"/>
      <c r="BI10" s="299"/>
      <c r="BJ10" s="299"/>
      <c r="BK10" s="299"/>
      <c r="BL10" s="299"/>
      <c r="BM10" s="299"/>
      <c r="BN10" s="299"/>
      <c r="BO10" s="299"/>
      <c r="BP10" s="299"/>
      <c r="BQ10" s="299"/>
      <c r="BR10" s="299"/>
      <c r="BS10" s="297" t="s">
        <v>1739</v>
      </c>
      <c r="BT10" s="297"/>
      <c r="BU10" s="297"/>
      <c r="BV10" s="297"/>
      <c r="BW10" s="297"/>
      <c r="BX10" s="297"/>
      <c r="BY10" s="297"/>
      <c r="BZ10" s="297"/>
      <c r="CA10" s="297"/>
      <c r="CB10" s="300" t="s">
        <v>3</v>
      </c>
      <c r="CC10" s="297"/>
      <c r="CD10" s="297"/>
      <c r="CE10" s="297"/>
      <c r="CF10" s="297"/>
      <c r="CG10" s="297"/>
      <c r="CH10" s="297"/>
      <c r="CI10" s="297"/>
      <c r="CJ10" s="297"/>
      <c r="CK10" s="297"/>
      <c r="CL10" s="297"/>
      <c r="CM10" s="297"/>
      <c r="CN10" s="297"/>
      <c r="CO10" s="297"/>
      <c r="CP10" s="297"/>
      <c r="CQ10" s="297"/>
      <c r="CR10" s="297"/>
      <c r="CS10" s="297"/>
      <c r="CT10" s="297"/>
      <c r="CU10" s="297"/>
      <c r="CV10" s="173"/>
    </row>
    <row r="11" spans="2:100" ht="21.75" customHeight="1">
      <c r="B11" s="174"/>
      <c r="C11" s="294" t="s">
        <v>571</v>
      </c>
      <c r="D11" s="295"/>
      <c r="E11" s="295"/>
      <c r="F11" s="295"/>
      <c r="G11" s="295"/>
      <c r="H11" s="295"/>
      <c r="I11" s="296" t="s">
        <v>1713</v>
      </c>
      <c r="J11" s="187"/>
      <c r="K11" s="187"/>
      <c r="L11" s="187"/>
      <c r="M11" s="187"/>
      <c r="N11" s="187"/>
      <c r="O11" s="187"/>
      <c r="P11" s="187"/>
      <c r="Q11" s="187"/>
      <c r="R11" s="187"/>
      <c r="S11" s="187"/>
      <c r="T11" s="187"/>
      <c r="U11" s="187"/>
      <c r="V11" s="187"/>
      <c r="W11" s="187"/>
      <c r="X11" s="187"/>
      <c r="Y11" s="294" t="s">
        <v>572</v>
      </c>
      <c r="Z11" s="295"/>
      <c r="AA11" s="295"/>
      <c r="AB11" s="295"/>
      <c r="AC11" s="295"/>
      <c r="AD11" s="295"/>
      <c r="AE11" s="296" t="s">
        <v>1712</v>
      </c>
      <c r="AF11" s="187"/>
      <c r="AG11" s="187"/>
      <c r="AH11" s="187"/>
      <c r="AI11" s="187"/>
      <c r="AJ11" s="187"/>
      <c r="AK11" s="187"/>
      <c r="AL11" s="187"/>
      <c r="AM11" s="187"/>
      <c r="AN11" s="187"/>
      <c r="AO11" s="187"/>
      <c r="AP11" s="187"/>
      <c r="AQ11" s="187"/>
      <c r="AR11" s="187"/>
      <c r="AS11" s="187"/>
      <c r="AT11" s="187"/>
      <c r="AU11" s="294" t="s">
        <v>1748</v>
      </c>
      <c r="AV11" s="295"/>
      <c r="AW11" s="295"/>
      <c r="AX11" s="295"/>
      <c r="AY11" s="295"/>
      <c r="AZ11" s="295"/>
      <c r="BA11" s="295"/>
      <c r="BB11" s="296" t="s">
        <v>119</v>
      </c>
      <c r="BC11" s="187"/>
      <c r="BD11" s="187"/>
      <c r="BE11" s="187"/>
      <c r="BF11" s="187"/>
      <c r="BG11" s="187"/>
      <c r="BH11" s="187"/>
      <c r="BI11" s="187"/>
      <c r="BJ11" s="187"/>
      <c r="BK11" s="187"/>
      <c r="BL11" s="187"/>
      <c r="BM11" s="187"/>
      <c r="BN11" s="187"/>
      <c r="BO11" s="187"/>
      <c r="BP11" s="187"/>
      <c r="BQ11" s="187"/>
      <c r="BR11" s="187"/>
      <c r="BS11" s="298" t="s">
        <v>750</v>
      </c>
      <c r="BT11" s="299"/>
      <c r="BU11" s="299"/>
      <c r="BV11" s="299"/>
      <c r="BW11" s="299"/>
      <c r="BX11" s="299"/>
      <c r="BY11" s="299"/>
      <c r="BZ11" s="299"/>
      <c r="CA11" s="299"/>
      <c r="CB11" s="301" t="s">
        <v>1702</v>
      </c>
      <c r="CC11" s="299"/>
      <c r="CD11" s="299"/>
      <c r="CE11" s="299"/>
      <c r="CF11" s="299"/>
      <c r="CG11" s="299"/>
      <c r="CH11" s="299"/>
      <c r="CI11" s="299"/>
      <c r="CJ11" s="299"/>
      <c r="CK11" s="299"/>
      <c r="CL11" s="299"/>
      <c r="CM11" s="299"/>
      <c r="CN11" s="299"/>
      <c r="CO11" s="299"/>
      <c r="CP11" s="299"/>
      <c r="CQ11" s="299"/>
      <c r="CR11" s="299"/>
      <c r="CS11" s="299"/>
      <c r="CT11" s="299"/>
      <c r="CU11" s="299"/>
      <c r="CV11" s="175"/>
    </row>
    <row r="12" spans="2:100" ht="21.75" customHeight="1">
      <c r="B12" s="174"/>
      <c r="C12" s="282" t="s">
        <v>1750</v>
      </c>
      <c r="D12" s="283"/>
      <c r="E12" s="283"/>
      <c r="F12" s="283"/>
      <c r="G12" s="283"/>
      <c r="H12" s="283"/>
      <c r="I12" s="283"/>
      <c r="J12" s="283"/>
      <c r="K12" s="283"/>
      <c r="L12" s="283"/>
      <c r="M12" s="283"/>
      <c r="N12" s="283"/>
      <c r="O12" s="283"/>
      <c r="P12" s="283"/>
      <c r="Q12" s="283"/>
      <c r="R12" s="283"/>
      <c r="S12" s="283"/>
      <c r="T12" s="283"/>
      <c r="U12" s="283"/>
      <c r="V12" s="283"/>
      <c r="W12" s="283"/>
      <c r="X12" s="283"/>
      <c r="Y12" s="283"/>
      <c r="Z12" s="283"/>
      <c r="AA12" s="283"/>
      <c r="AB12" s="283"/>
      <c r="AC12" s="283"/>
      <c r="AD12" s="283"/>
      <c r="AE12" s="283"/>
      <c r="AF12" s="283"/>
      <c r="AG12" s="283"/>
      <c r="AH12" s="283"/>
      <c r="AI12" s="283"/>
      <c r="AJ12" s="283"/>
      <c r="AK12" s="283"/>
      <c r="AL12" s="283"/>
      <c r="AM12" s="283"/>
      <c r="AN12" s="283"/>
      <c r="AO12" s="283"/>
      <c r="AP12" s="283"/>
      <c r="AQ12" s="283"/>
      <c r="AR12" s="283"/>
      <c r="AS12" s="283"/>
      <c r="AT12" s="283"/>
      <c r="AU12" s="283"/>
      <c r="AV12" s="283"/>
      <c r="AW12" s="283"/>
      <c r="AX12" s="283"/>
      <c r="AY12" s="283"/>
      <c r="AZ12" s="283"/>
      <c r="BA12" s="283"/>
      <c r="BB12" s="283"/>
      <c r="BC12" s="283"/>
      <c r="BD12" s="283"/>
      <c r="BE12" s="283"/>
      <c r="BF12" s="283"/>
      <c r="BG12" s="283"/>
      <c r="BH12" s="283"/>
      <c r="BI12" s="283"/>
      <c r="BJ12" s="283"/>
      <c r="BK12" s="283"/>
      <c r="BL12" s="283"/>
      <c r="BM12" s="283"/>
      <c r="BN12" s="283"/>
      <c r="BO12" s="284"/>
      <c r="BP12" s="284"/>
      <c r="BQ12" s="284"/>
      <c r="BR12" s="284"/>
      <c r="BS12" s="176"/>
      <c r="BT12" s="177"/>
      <c r="BU12" s="177"/>
      <c r="BV12" s="177"/>
      <c r="BW12" s="177"/>
      <c r="BX12" s="177"/>
      <c r="BY12" s="177"/>
      <c r="BZ12" s="177"/>
      <c r="CA12" s="177"/>
      <c r="CB12" s="177"/>
      <c r="CC12" s="177"/>
      <c r="CD12" s="177"/>
      <c r="CE12" s="177"/>
      <c r="CF12" s="177"/>
      <c r="CG12" s="177"/>
      <c r="CH12" s="177"/>
      <c r="CI12" s="177"/>
      <c r="CJ12" s="177"/>
      <c r="CK12" s="177"/>
      <c r="CL12" s="177"/>
      <c r="CM12" s="177"/>
      <c r="CN12" s="177"/>
      <c r="CO12" s="177"/>
      <c r="CP12" s="177"/>
      <c r="CQ12" s="177"/>
      <c r="CR12" s="172"/>
      <c r="CS12" s="172"/>
      <c r="CT12" s="172"/>
      <c r="CU12" s="178"/>
      <c r="CV12" s="175"/>
    </row>
    <row r="13" spans="2:100" ht="21.75" customHeight="1">
      <c r="B13" s="174"/>
      <c r="C13" s="287" t="s">
        <v>1770</v>
      </c>
      <c r="D13" s="293"/>
      <c r="E13" s="293"/>
      <c r="F13" s="293"/>
      <c r="G13" s="293"/>
      <c r="H13" s="293"/>
      <c r="I13" s="293"/>
      <c r="J13" s="293"/>
      <c r="K13" s="293"/>
      <c r="L13" s="293"/>
      <c r="M13" s="293"/>
      <c r="N13" s="293"/>
      <c r="O13" s="293"/>
      <c r="P13" s="293"/>
      <c r="Q13" s="293"/>
      <c r="R13" s="293"/>
      <c r="S13" s="293"/>
      <c r="T13" s="293"/>
      <c r="U13" s="293"/>
      <c r="V13" s="293"/>
      <c r="W13" s="293"/>
      <c r="X13" s="293"/>
      <c r="Y13" s="293"/>
      <c r="Z13" s="293"/>
      <c r="AA13" s="293"/>
      <c r="AB13" s="293"/>
      <c r="AC13" s="293"/>
      <c r="AD13" s="293"/>
      <c r="AE13" s="293"/>
      <c r="AF13" s="293"/>
      <c r="AG13" s="293"/>
      <c r="AH13" s="293"/>
      <c r="AI13" s="293"/>
      <c r="AJ13" s="293"/>
      <c r="AK13" s="293"/>
      <c r="AL13" s="293"/>
      <c r="AM13" s="293"/>
      <c r="AN13" s="293"/>
      <c r="AO13" s="293"/>
      <c r="AP13" s="293"/>
      <c r="AQ13" s="293"/>
      <c r="AR13" s="293"/>
      <c r="AS13" s="293"/>
      <c r="AT13" s="293"/>
      <c r="AU13" s="293"/>
      <c r="AV13" s="293"/>
      <c r="AW13" s="293"/>
      <c r="AX13" s="293"/>
      <c r="AY13" s="293"/>
      <c r="AZ13" s="293"/>
      <c r="BA13" s="293"/>
      <c r="BB13" s="293"/>
      <c r="BC13" s="293"/>
      <c r="BD13" s="293"/>
      <c r="BE13" s="293"/>
      <c r="BF13" s="293"/>
      <c r="BG13" s="293"/>
      <c r="BH13" s="293"/>
      <c r="BI13" s="293"/>
      <c r="BJ13" s="293"/>
      <c r="BK13" s="293"/>
      <c r="BL13" s="293"/>
      <c r="BM13" s="293"/>
      <c r="BN13" s="293"/>
      <c r="BO13" s="187"/>
      <c r="BP13" s="187"/>
      <c r="BQ13" s="187"/>
      <c r="BR13" s="187"/>
      <c r="BS13" s="187"/>
      <c r="BT13" s="187"/>
      <c r="BU13" s="187"/>
      <c r="BV13" s="187"/>
      <c r="BW13" s="187"/>
      <c r="BX13" s="187"/>
      <c r="BY13" s="187"/>
      <c r="BZ13" s="187"/>
      <c r="CA13" s="187"/>
      <c r="CB13" s="187"/>
      <c r="CC13" s="187"/>
      <c r="CD13" s="187"/>
      <c r="CE13" s="187"/>
      <c r="CF13" s="187"/>
      <c r="CG13" s="187"/>
      <c r="CH13" s="187"/>
      <c r="CI13" s="187"/>
      <c r="CJ13" s="187"/>
      <c r="CK13" s="187"/>
      <c r="CL13" s="187"/>
      <c r="CM13" s="187"/>
      <c r="CN13" s="187"/>
      <c r="CO13" s="187"/>
      <c r="CP13" s="187"/>
      <c r="CQ13" s="187"/>
      <c r="CR13" s="187"/>
      <c r="CS13" s="187"/>
      <c r="CT13" s="187"/>
      <c r="CU13" s="187"/>
      <c r="CV13" s="175"/>
    </row>
    <row r="14" spans="2:100" ht="21.75" customHeight="1">
      <c r="B14" s="174"/>
      <c r="C14" s="187"/>
      <c r="D14" s="187"/>
      <c r="E14" s="187"/>
      <c r="F14" s="187"/>
      <c r="G14" s="187"/>
      <c r="H14" s="187"/>
      <c r="I14" s="187"/>
      <c r="J14" s="187"/>
      <c r="K14" s="187"/>
      <c r="L14" s="187"/>
      <c r="M14" s="187"/>
      <c r="N14" s="187"/>
      <c r="O14" s="187"/>
      <c r="P14" s="187"/>
      <c r="Q14" s="187"/>
      <c r="R14" s="187"/>
      <c r="S14" s="187"/>
      <c r="T14" s="187"/>
      <c r="U14" s="187"/>
      <c r="V14" s="187"/>
      <c r="W14" s="187"/>
      <c r="X14" s="187"/>
      <c r="Y14" s="187"/>
      <c r="Z14" s="187"/>
      <c r="AA14" s="187"/>
      <c r="AB14" s="187"/>
      <c r="AC14" s="187"/>
      <c r="AD14" s="187"/>
      <c r="AE14" s="187"/>
      <c r="AF14" s="187"/>
      <c r="AG14" s="187"/>
      <c r="AH14" s="187"/>
      <c r="AI14" s="187"/>
      <c r="AJ14" s="187"/>
      <c r="AK14" s="187"/>
      <c r="AL14" s="187"/>
      <c r="AM14" s="187"/>
      <c r="AN14" s="187"/>
      <c r="AO14" s="187"/>
      <c r="AP14" s="187"/>
      <c r="AQ14" s="187"/>
      <c r="AR14" s="187"/>
      <c r="AS14" s="187"/>
      <c r="AT14" s="187"/>
      <c r="AU14" s="187"/>
      <c r="AV14" s="187"/>
      <c r="AW14" s="187"/>
      <c r="AX14" s="187"/>
      <c r="AY14" s="187"/>
      <c r="AZ14" s="187"/>
      <c r="BA14" s="187"/>
      <c r="BB14" s="187"/>
      <c r="BC14" s="187"/>
      <c r="BD14" s="187"/>
      <c r="BE14" s="187"/>
      <c r="BF14" s="187"/>
      <c r="BG14" s="187"/>
      <c r="BH14" s="187"/>
      <c r="BI14" s="187"/>
      <c r="BJ14" s="187"/>
      <c r="BK14" s="187"/>
      <c r="BL14" s="187"/>
      <c r="BM14" s="187"/>
      <c r="BN14" s="187"/>
      <c r="BO14" s="187"/>
      <c r="BP14" s="187"/>
      <c r="BQ14" s="187"/>
      <c r="BR14" s="187"/>
      <c r="BS14" s="187"/>
      <c r="BT14" s="187"/>
      <c r="BU14" s="187"/>
      <c r="BV14" s="187"/>
      <c r="BW14" s="187"/>
      <c r="BX14" s="187"/>
      <c r="BY14" s="187"/>
      <c r="BZ14" s="187"/>
      <c r="CA14" s="187"/>
      <c r="CB14" s="187"/>
      <c r="CC14" s="187"/>
      <c r="CD14" s="187"/>
      <c r="CE14" s="187"/>
      <c r="CF14" s="187"/>
      <c r="CG14" s="187"/>
      <c r="CH14" s="187"/>
      <c r="CI14" s="187"/>
      <c r="CJ14" s="187"/>
      <c r="CK14" s="187"/>
      <c r="CL14" s="187"/>
      <c r="CM14" s="187"/>
      <c r="CN14" s="187"/>
      <c r="CO14" s="187"/>
      <c r="CP14" s="187"/>
      <c r="CQ14" s="187"/>
      <c r="CR14" s="187"/>
      <c r="CS14" s="187"/>
      <c r="CT14" s="187"/>
      <c r="CU14" s="187"/>
      <c r="CV14" s="175"/>
    </row>
    <row r="15" spans="2:100" ht="21.75" customHeight="1">
      <c r="B15" s="174"/>
      <c r="C15" s="306" t="s">
        <v>1731</v>
      </c>
      <c r="D15" s="306"/>
      <c r="E15" s="306"/>
      <c r="F15" s="306"/>
      <c r="G15" s="306"/>
      <c r="H15" s="306"/>
      <c r="I15" s="306"/>
      <c r="J15" s="306"/>
      <c r="K15" s="306"/>
      <c r="L15" s="306"/>
      <c r="M15" s="306"/>
      <c r="N15" s="306"/>
      <c r="O15" s="306"/>
      <c r="P15" s="306"/>
      <c r="Q15" s="306"/>
      <c r="R15" s="306"/>
      <c r="S15" s="306"/>
      <c r="T15" s="306"/>
      <c r="U15" s="306"/>
      <c r="V15" s="306"/>
      <c r="W15" s="306"/>
      <c r="X15" s="306"/>
      <c r="Y15" s="306"/>
      <c r="Z15" s="306"/>
      <c r="AA15" s="306"/>
      <c r="AB15" s="306"/>
      <c r="AC15" s="306"/>
      <c r="AD15" s="306"/>
      <c r="AE15" s="306"/>
      <c r="AF15" s="306"/>
      <c r="AG15" s="306"/>
      <c r="AH15" s="306"/>
      <c r="AI15" s="306"/>
      <c r="AJ15" s="306"/>
      <c r="AK15" s="306"/>
      <c r="AL15" s="306"/>
      <c r="AM15" s="306"/>
      <c r="AN15" s="306"/>
      <c r="AO15" s="306"/>
      <c r="AP15" s="306"/>
      <c r="AQ15" s="306"/>
      <c r="AR15" s="306"/>
      <c r="AS15" s="306"/>
      <c r="AT15" s="306"/>
      <c r="AU15" s="306"/>
      <c r="AV15" s="306"/>
      <c r="AW15" s="306"/>
      <c r="AX15" s="306"/>
      <c r="AY15" s="306"/>
      <c r="AZ15" s="306"/>
      <c r="BA15" s="306"/>
      <c r="BB15" s="306"/>
      <c r="BC15" s="306"/>
      <c r="BD15" s="306"/>
      <c r="BE15" s="306"/>
      <c r="BF15" s="306"/>
      <c r="BG15" s="306"/>
      <c r="BH15" s="306"/>
      <c r="BI15" s="306"/>
      <c r="BJ15" s="306"/>
      <c r="BK15" s="306"/>
      <c r="BL15" s="306"/>
      <c r="BM15" s="306"/>
      <c r="BN15" s="306"/>
      <c r="BO15" s="178"/>
      <c r="BP15" s="172"/>
      <c r="BQ15" s="172"/>
      <c r="BR15" s="172"/>
      <c r="BS15" s="172"/>
      <c r="BT15" s="172"/>
      <c r="BU15" s="172"/>
      <c r="BV15" s="172"/>
      <c r="BW15" s="172"/>
      <c r="BX15" s="172"/>
      <c r="BY15" s="172"/>
      <c r="BZ15" s="172"/>
      <c r="CA15" s="172"/>
      <c r="CB15" s="172"/>
      <c r="CC15" s="172"/>
      <c r="CD15" s="172"/>
      <c r="CE15" s="172"/>
      <c r="CF15" s="172"/>
      <c r="CG15" s="172"/>
      <c r="CH15" s="172"/>
      <c r="CI15" s="172"/>
      <c r="CJ15" s="172"/>
      <c r="CK15" s="172"/>
      <c r="CL15" s="172"/>
      <c r="CM15" s="172"/>
      <c r="CN15" s="172"/>
      <c r="CO15" s="172"/>
      <c r="CP15" s="172"/>
      <c r="CQ15" s="172"/>
      <c r="CR15" s="172"/>
      <c r="CS15" s="172"/>
      <c r="CT15" s="172"/>
      <c r="CU15" s="172"/>
      <c r="CV15" s="175"/>
    </row>
    <row r="16" spans="2:100" ht="21.75" customHeight="1">
      <c r="B16" s="174"/>
      <c r="C16" s="296" t="s">
        <v>1771</v>
      </c>
      <c r="D16" s="187"/>
      <c r="E16" s="187"/>
      <c r="F16" s="187"/>
      <c r="G16" s="187"/>
      <c r="H16" s="187"/>
      <c r="I16" s="187"/>
      <c r="J16" s="187"/>
      <c r="K16" s="187"/>
      <c r="L16" s="187"/>
      <c r="M16" s="187"/>
      <c r="N16" s="187"/>
      <c r="O16" s="187"/>
      <c r="P16" s="187"/>
      <c r="Q16" s="187"/>
      <c r="R16" s="187"/>
      <c r="S16" s="187"/>
      <c r="T16" s="187"/>
      <c r="U16" s="187"/>
      <c r="V16" s="187"/>
      <c r="W16" s="187"/>
      <c r="X16" s="187"/>
      <c r="Y16" s="187"/>
      <c r="Z16" s="187"/>
      <c r="AA16" s="187"/>
      <c r="AB16" s="187"/>
      <c r="AC16" s="187"/>
      <c r="AD16" s="187"/>
      <c r="AE16" s="187"/>
      <c r="AF16" s="187"/>
      <c r="AG16" s="187"/>
      <c r="AH16" s="187"/>
      <c r="AI16" s="187"/>
      <c r="AJ16" s="187"/>
      <c r="AK16" s="187"/>
      <c r="AL16" s="187"/>
      <c r="AM16" s="187"/>
      <c r="AN16" s="187"/>
      <c r="AO16" s="187"/>
      <c r="AP16" s="187"/>
      <c r="AQ16" s="187"/>
      <c r="AR16" s="187"/>
      <c r="AS16" s="187"/>
      <c r="AT16" s="187"/>
      <c r="AU16" s="187"/>
      <c r="AV16" s="187"/>
      <c r="AW16" s="187"/>
      <c r="AX16" s="187"/>
      <c r="AY16" s="187"/>
      <c r="AZ16" s="187"/>
      <c r="BA16" s="187"/>
      <c r="BB16" s="187"/>
      <c r="BC16" s="187"/>
      <c r="BD16" s="187"/>
      <c r="BE16" s="187"/>
      <c r="BF16" s="187"/>
      <c r="BG16" s="187"/>
      <c r="BH16" s="187"/>
      <c r="BI16" s="187"/>
      <c r="BJ16" s="187"/>
      <c r="BK16" s="187"/>
      <c r="BL16" s="187"/>
      <c r="BM16" s="187"/>
      <c r="BN16" s="187"/>
      <c r="BO16" s="187"/>
      <c r="BP16" s="187"/>
      <c r="BQ16" s="187"/>
      <c r="BR16" s="187"/>
      <c r="BS16" s="187"/>
      <c r="BT16" s="187"/>
      <c r="BU16" s="187"/>
      <c r="BV16" s="187"/>
      <c r="BW16" s="187"/>
      <c r="BX16" s="187"/>
      <c r="BY16" s="187"/>
      <c r="BZ16" s="187"/>
      <c r="CA16" s="187"/>
      <c r="CB16" s="187"/>
      <c r="CC16" s="187"/>
      <c r="CD16" s="187"/>
      <c r="CE16" s="187"/>
      <c r="CF16" s="187"/>
      <c r="CG16" s="187"/>
      <c r="CH16" s="187"/>
      <c r="CI16" s="187"/>
      <c r="CJ16" s="187"/>
      <c r="CK16" s="187"/>
      <c r="CL16" s="187"/>
      <c r="CM16" s="187"/>
      <c r="CN16" s="187"/>
      <c r="CO16" s="187"/>
      <c r="CP16" s="187"/>
      <c r="CQ16" s="187"/>
      <c r="CR16" s="187"/>
      <c r="CS16" s="187"/>
      <c r="CT16" s="187"/>
      <c r="CU16" s="187"/>
      <c r="CV16" s="175"/>
    </row>
    <row r="17" spans="2:100" ht="21.75" customHeight="1">
      <c r="B17" s="174"/>
      <c r="C17" s="187"/>
      <c r="D17" s="187"/>
      <c r="E17" s="187"/>
      <c r="F17" s="187"/>
      <c r="G17" s="187"/>
      <c r="H17" s="187"/>
      <c r="I17" s="187"/>
      <c r="J17" s="187"/>
      <c r="K17" s="187"/>
      <c r="L17" s="187"/>
      <c r="M17" s="187"/>
      <c r="N17" s="187"/>
      <c r="O17" s="187"/>
      <c r="P17" s="187"/>
      <c r="Q17" s="187"/>
      <c r="R17" s="187"/>
      <c r="S17" s="187"/>
      <c r="T17" s="187"/>
      <c r="U17" s="187"/>
      <c r="V17" s="187"/>
      <c r="W17" s="187"/>
      <c r="X17" s="187"/>
      <c r="Y17" s="187"/>
      <c r="Z17" s="187"/>
      <c r="AA17" s="187"/>
      <c r="AB17" s="187"/>
      <c r="AC17" s="187"/>
      <c r="AD17" s="187"/>
      <c r="AE17" s="187"/>
      <c r="AF17" s="187"/>
      <c r="AG17" s="187"/>
      <c r="AH17" s="187"/>
      <c r="AI17" s="187"/>
      <c r="AJ17" s="187"/>
      <c r="AK17" s="187"/>
      <c r="AL17" s="187"/>
      <c r="AM17" s="187"/>
      <c r="AN17" s="187"/>
      <c r="AO17" s="187"/>
      <c r="AP17" s="187"/>
      <c r="AQ17" s="187"/>
      <c r="AR17" s="187"/>
      <c r="AS17" s="187"/>
      <c r="AT17" s="187"/>
      <c r="AU17" s="187"/>
      <c r="AV17" s="187"/>
      <c r="AW17" s="187"/>
      <c r="AX17" s="187"/>
      <c r="AY17" s="187"/>
      <c r="AZ17" s="187"/>
      <c r="BA17" s="187"/>
      <c r="BB17" s="187"/>
      <c r="BC17" s="187"/>
      <c r="BD17" s="187"/>
      <c r="BE17" s="187"/>
      <c r="BF17" s="187"/>
      <c r="BG17" s="187"/>
      <c r="BH17" s="187"/>
      <c r="BI17" s="187"/>
      <c r="BJ17" s="187"/>
      <c r="BK17" s="187"/>
      <c r="BL17" s="187"/>
      <c r="BM17" s="187"/>
      <c r="BN17" s="187"/>
      <c r="BO17" s="187"/>
      <c r="BP17" s="187"/>
      <c r="BQ17" s="187"/>
      <c r="BR17" s="187"/>
      <c r="BS17" s="187"/>
      <c r="BT17" s="187"/>
      <c r="BU17" s="187"/>
      <c r="BV17" s="187"/>
      <c r="BW17" s="187"/>
      <c r="BX17" s="187"/>
      <c r="BY17" s="187"/>
      <c r="BZ17" s="187"/>
      <c r="CA17" s="187"/>
      <c r="CB17" s="187"/>
      <c r="CC17" s="187"/>
      <c r="CD17" s="187"/>
      <c r="CE17" s="187"/>
      <c r="CF17" s="187"/>
      <c r="CG17" s="187"/>
      <c r="CH17" s="187"/>
      <c r="CI17" s="187"/>
      <c r="CJ17" s="187"/>
      <c r="CK17" s="187"/>
      <c r="CL17" s="187"/>
      <c r="CM17" s="187"/>
      <c r="CN17" s="187"/>
      <c r="CO17" s="187"/>
      <c r="CP17" s="187"/>
      <c r="CQ17" s="187"/>
      <c r="CR17" s="187"/>
      <c r="CS17" s="187"/>
      <c r="CT17" s="187"/>
      <c r="CU17" s="187"/>
      <c r="CV17" s="175"/>
    </row>
    <row r="18" spans="2:100" ht="21.75" customHeight="1">
      <c r="B18" s="174"/>
      <c r="C18" s="187"/>
      <c r="D18" s="187"/>
      <c r="E18" s="187"/>
      <c r="F18" s="187"/>
      <c r="G18" s="187"/>
      <c r="H18" s="187"/>
      <c r="I18" s="187"/>
      <c r="J18" s="187"/>
      <c r="K18" s="187"/>
      <c r="L18" s="187"/>
      <c r="M18" s="187"/>
      <c r="N18" s="187"/>
      <c r="O18" s="187"/>
      <c r="P18" s="187"/>
      <c r="Q18" s="187"/>
      <c r="R18" s="187"/>
      <c r="S18" s="187"/>
      <c r="T18" s="187"/>
      <c r="U18" s="187"/>
      <c r="V18" s="187"/>
      <c r="W18" s="187"/>
      <c r="X18" s="187"/>
      <c r="Y18" s="187"/>
      <c r="Z18" s="187"/>
      <c r="AA18" s="187"/>
      <c r="AB18" s="187"/>
      <c r="AC18" s="187"/>
      <c r="AD18" s="187"/>
      <c r="AE18" s="187"/>
      <c r="AF18" s="187"/>
      <c r="AG18" s="187"/>
      <c r="AH18" s="187"/>
      <c r="AI18" s="187"/>
      <c r="AJ18" s="187"/>
      <c r="AK18" s="187"/>
      <c r="AL18" s="187"/>
      <c r="AM18" s="187"/>
      <c r="AN18" s="187"/>
      <c r="AO18" s="187"/>
      <c r="AP18" s="187"/>
      <c r="AQ18" s="187"/>
      <c r="AR18" s="187"/>
      <c r="AS18" s="187"/>
      <c r="AT18" s="187"/>
      <c r="AU18" s="187"/>
      <c r="AV18" s="187"/>
      <c r="AW18" s="187"/>
      <c r="AX18" s="187"/>
      <c r="AY18" s="187"/>
      <c r="AZ18" s="187"/>
      <c r="BA18" s="187"/>
      <c r="BB18" s="187"/>
      <c r="BC18" s="187"/>
      <c r="BD18" s="187"/>
      <c r="BE18" s="187"/>
      <c r="BF18" s="187"/>
      <c r="BG18" s="187"/>
      <c r="BH18" s="187"/>
      <c r="BI18" s="187"/>
      <c r="BJ18" s="187"/>
      <c r="BK18" s="187"/>
      <c r="BL18" s="187"/>
      <c r="BM18" s="187"/>
      <c r="BN18" s="187"/>
      <c r="BO18" s="187"/>
      <c r="BP18" s="187"/>
      <c r="BQ18" s="187"/>
      <c r="BR18" s="187"/>
      <c r="BS18" s="187"/>
      <c r="BT18" s="187"/>
      <c r="BU18" s="187"/>
      <c r="BV18" s="187"/>
      <c r="BW18" s="187"/>
      <c r="BX18" s="187"/>
      <c r="BY18" s="187"/>
      <c r="BZ18" s="187"/>
      <c r="CA18" s="187"/>
      <c r="CB18" s="187"/>
      <c r="CC18" s="187"/>
      <c r="CD18" s="187"/>
      <c r="CE18" s="187"/>
      <c r="CF18" s="187"/>
      <c r="CG18" s="187"/>
      <c r="CH18" s="187"/>
      <c r="CI18" s="187"/>
      <c r="CJ18" s="187"/>
      <c r="CK18" s="187"/>
      <c r="CL18" s="187"/>
      <c r="CM18" s="187"/>
      <c r="CN18" s="187"/>
      <c r="CO18" s="187"/>
      <c r="CP18" s="187"/>
      <c r="CQ18" s="187"/>
      <c r="CR18" s="187"/>
      <c r="CS18" s="187"/>
      <c r="CT18" s="187"/>
      <c r="CU18" s="187"/>
      <c r="CV18" s="175"/>
    </row>
    <row r="19" spans="2:100" ht="21.75" customHeight="1">
      <c r="B19" s="174"/>
      <c r="C19" s="306" t="s">
        <v>1732</v>
      </c>
      <c r="D19" s="306"/>
      <c r="E19" s="306"/>
      <c r="F19" s="306"/>
      <c r="G19" s="306"/>
      <c r="H19" s="306"/>
      <c r="I19" s="306"/>
      <c r="J19" s="306"/>
      <c r="K19" s="306"/>
      <c r="L19" s="306"/>
      <c r="M19" s="306"/>
      <c r="N19" s="306"/>
      <c r="O19" s="306"/>
      <c r="P19" s="306"/>
      <c r="Q19" s="306"/>
      <c r="R19" s="306"/>
      <c r="S19" s="306"/>
      <c r="T19" s="306"/>
      <c r="U19" s="306"/>
      <c r="V19" s="306"/>
      <c r="W19" s="306"/>
      <c r="X19" s="306"/>
      <c r="Y19" s="306"/>
      <c r="Z19" s="306"/>
      <c r="AA19" s="306"/>
      <c r="AB19" s="306"/>
      <c r="AC19" s="306"/>
      <c r="AD19" s="306"/>
      <c r="AE19" s="306"/>
      <c r="AF19" s="306"/>
      <c r="AG19" s="306"/>
      <c r="AH19" s="306"/>
      <c r="AI19" s="306"/>
      <c r="AJ19" s="306"/>
      <c r="AK19" s="306"/>
      <c r="AL19" s="306"/>
      <c r="AM19" s="306"/>
      <c r="AN19" s="306"/>
      <c r="AO19" s="306"/>
      <c r="AP19" s="306"/>
      <c r="AQ19" s="306"/>
      <c r="AR19" s="306"/>
      <c r="AS19" s="306"/>
      <c r="AT19" s="306"/>
      <c r="AU19" s="306"/>
      <c r="AV19" s="306"/>
      <c r="AW19" s="306"/>
      <c r="AX19" s="306"/>
      <c r="AY19" s="306"/>
      <c r="AZ19" s="306"/>
      <c r="BA19" s="306"/>
      <c r="BB19" s="306"/>
      <c r="BC19" s="306"/>
      <c r="BD19" s="306"/>
      <c r="BE19" s="306"/>
      <c r="BF19" s="306"/>
      <c r="BG19" s="306"/>
      <c r="BH19" s="306"/>
      <c r="BI19" s="306"/>
      <c r="BJ19" s="306"/>
      <c r="BK19" s="306"/>
      <c r="BL19" s="306"/>
      <c r="BM19" s="306"/>
      <c r="BN19" s="306"/>
      <c r="BO19" s="178"/>
      <c r="BP19" s="172"/>
      <c r="BQ19" s="172"/>
      <c r="BR19" s="172"/>
      <c r="BS19" s="172"/>
      <c r="BT19" s="172"/>
      <c r="BU19" s="172"/>
      <c r="BV19" s="172"/>
      <c r="BW19" s="172"/>
      <c r="BX19" s="172"/>
      <c r="BY19" s="172"/>
      <c r="BZ19" s="172"/>
      <c r="CA19" s="172"/>
      <c r="CB19" s="172"/>
      <c r="CC19" s="172"/>
      <c r="CD19" s="172"/>
      <c r="CE19" s="172"/>
      <c r="CF19" s="172"/>
      <c r="CG19" s="172"/>
      <c r="CH19" s="172"/>
      <c r="CI19" s="172"/>
      <c r="CJ19" s="172"/>
      <c r="CK19" s="172"/>
      <c r="CL19" s="172"/>
      <c r="CM19" s="172"/>
      <c r="CN19" s="172"/>
      <c r="CO19" s="172"/>
      <c r="CP19" s="172"/>
      <c r="CQ19" s="172"/>
      <c r="CR19" s="172"/>
      <c r="CS19" s="172"/>
      <c r="CT19" s="172"/>
      <c r="CU19" s="172"/>
      <c r="CV19" s="175"/>
    </row>
    <row r="20" spans="2:100" ht="21.75" customHeight="1">
      <c r="B20" s="174"/>
      <c r="C20" s="296" t="s">
        <v>40</v>
      </c>
      <c r="D20" s="187"/>
      <c r="E20" s="187"/>
      <c r="F20" s="187"/>
      <c r="G20" s="187"/>
      <c r="H20" s="187"/>
      <c r="I20" s="187"/>
      <c r="J20" s="187"/>
      <c r="K20" s="187"/>
      <c r="L20" s="187"/>
      <c r="M20" s="187"/>
      <c r="N20" s="187"/>
      <c r="O20" s="187"/>
      <c r="P20" s="187"/>
      <c r="Q20" s="187"/>
      <c r="R20" s="187"/>
      <c r="S20" s="187"/>
      <c r="T20" s="187"/>
      <c r="U20" s="187"/>
      <c r="V20" s="187"/>
      <c r="W20" s="187"/>
      <c r="X20" s="187"/>
      <c r="Y20" s="187"/>
      <c r="Z20" s="187"/>
      <c r="AA20" s="187"/>
      <c r="AB20" s="187"/>
      <c r="AC20" s="187"/>
      <c r="AD20" s="187"/>
      <c r="AE20" s="187"/>
      <c r="AF20" s="187"/>
      <c r="AG20" s="187"/>
      <c r="AH20" s="187"/>
      <c r="AI20" s="187"/>
      <c r="AJ20" s="187"/>
      <c r="AK20" s="187"/>
      <c r="AL20" s="187"/>
      <c r="AM20" s="187"/>
      <c r="AN20" s="187"/>
      <c r="AO20" s="187"/>
      <c r="AP20" s="187"/>
      <c r="AQ20" s="187"/>
      <c r="AR20" s="187"/>
      <c r="AS20" s="187"/>
      <c r="AT20" s="187"/>
      <c r="AU20" s="187"/>
      <c r="AV20" s="187"/>
      <c r="AW20" s="187"/>
      <c r="AX20" s="187"/>
      <c r="AY20" s="187"/>
      <c r="AZ20" s="187"/>
      <c r="BA20" s="187"/>
      <c r="BB20" s="187"/>
      <c r="BC20" s="187"/>
      <c r="BD20" s="187"/>
      <c r="BE20" s="187"/>
      <c r="BF20" s="187"/>
      <c r="BG20" s="187"/>
      <c r="BH20" s="187"/>
      <c r="BI20" s="187"/>
      <c r="BJ20" s="187"/>
      <c r="BK20" s="187"/>
      <c r="BL20" s="187"/>
      <c r="BM20" s="187"/>
      <c r="BN20" s="187"/>
      <c r="BO20" s="187"/>
      <c r="BP20" s="187"/>
      <c r="BQ20" s="187"/>
      <c r="BR20" s="187"/>
      <c r="BS20" s="187"/>
      <c r="BT20" s="187"/>
      <c r="BU20" s="187"/>
      <c r="BV20" s="187"/>
      <c r="BW20" s="187"/>
      <c r="BX20" s="187"/>
      <c r="BY20" s="187"/>
      <c r="BZ20" s="187"/>
      <c r="CA20" s="187"/>
      <c r="CB20" s="187"/>
      <c r="CC20" s="187"/>
      <c r="CD20" s="187"/>
      <c r="CE20" s="187"/>
      <c r="CF20" s="187"/>
      <c r="CG20" s="187"/>
      <c r="CH20" s="187"/>
      <c r="CI20" s="187"/>
      <c r="CJ20" s="187"/>
      <c r="CK20" s="187"/>
      <c r="CL20" s="187"/>
      <c r="CM20" s="187"/>
      <c r="CN20" s="187"/>
      <c r="CO20" s="187"/>
      <c r="CP20" s="187"/>
      <c r="CQ20" s="187"/>
      <c r="CR20" s="187"/>
      <c r="CS20" s="187"/>
      <c r="CT20" s="187"/>
      <c r="CU20" s="187"/>
      <c r="CV20" s="175"/>
    </row>
    <row r="21" spans="2:100" ht="21.75" customHeight="1">
      <c r="B21" s="174"/>
      <c r="C21" s="187"/>
      <c r="D21" s="187"/>
      <c r="E21" s="187"/>
      <c r="F21" s="187"/>
      <c r="G21" s="187"/>
      <c r="H21" s="187"/>
      <c r="I21" s="187"/>
      <c r="J21" s="187"/>
      <c r="K21" s="187"/>
      <c r="L21" s="187"/>
      <c r="M21" s="187"/>
      <c r="N21" s="187"/>
      <c r="O21" s="187"/>
      <c r="P21" s="187"/>
      <c r="Q21" s="187"/>
      <c r="R21" s="187"/>
      <c r="S21" s="187"/>
      <c r="T21" s="187"/>
      <c r="U21" s="187"/>
      <c r="V21" s="187"/>
      <c r="W21" s="187"/>
      <c r="X21" s="187"/>
      <c r="Y21" s="187"/>
      <c r="Z21" s="187"/>
      <c r="AA21" s="187"/>
      <c r="AB21" s="187"/>
      <c r="AC21" s="187"/>
      <c r="AD21" s="187"/>
      <c r="AE21" s="187"/>
      <c r="AF21" s="187"/>
      <c r="AG21" s="187"/>
      <c r="AH21" s="187"/>
      <c r="AI21" s="187"/>
      <c r="AJ21" s="187"/>
      <c r="AK21" s="187"/>
      <c r="AL21" s="187"/>
      <c r="AM21" s="187"/>
      <c r="AN21" s="187"/>
      <c r="AO21" s="187"/>
      <c r="AP21" s="187"/>
      <c r="AQ21" s="187"/>
      <c r="AR21" s="187"/>
      <c r="AS21" s="187"/>
      <c r="AT21" s="187"/>
      <c r="AU21" s="187"/>
      <c r="AV21" s="187"/>
      <c r="AW21" s="187"/>
      <c r="AX21" s="187"/>
      <c r="AY21" s="187"/>
      <c r="AZ21" s="187"/>
      <c r="BA21" s="187"/>
      <c r="BB21" s="187"/>
      <c r="BC21" s="187"/>
      <c r="BD21" s="187"/>
      <c r="BE21" s="187"/>
      <c r="BF21" s="187"/>
      <c r="BG21" s="187"/>
      <c r="BH21" s="187"/>
      <c r="BI21" s="187"/>
      <c r="BJ21" s="187"/>
      <c r="BK21" s="187"/>
      <c r="BL21" s="187"/>
      <c r="BM21" s="187"/>
      <c r="BN21" s="187"/>
      <c r="BO21" s="187"/>
      <c r="BP21" s="187"/>
      <c r="BQ21" s="187"/>
      <c r="BR21" s="187"/>
      <c r="BS21" s="187"/>
      <c r="BT21" s="187"/>
      <c r="BU21" s="187"/>
      <c r="BV21" s="187"/>
      <c r="BW21" s="187"/>
      <c r="BX21" s="187"/>
      <c r="BY21" s="187"/>
      <c r="BZ21" s="187"/>
      <c r="CA21" s="187"/>
      <c r="CB21" s="187"/>
      <c r="CC21" s="187"/>
      <c r="CD21" s="187"/>
      <c r="CE21" s="187"/>
      <c r="CF21" s="187"/>
      <c r="CG21" s="187"/>
      <c r="CH21" s="187"/>
      <c r="CI21" s="187"/>
      <c r="CJ21" s="187"/>
      <c r="CK21" s="187"/>
      <c r="CL21" s="187"/>
      <c r="CM21" s="187"/>
      <c r="CN21" s="187"/>
      <c r="CO21" s="187"/>
      <c r="CP21" s="187"/>
      <c r="CQ21" s="187"/>
      <c r="CR21" s="187"/>
      <c r="CS21" s="187"/>
      <c r="CT21" s="187"/>
      <c r="CU21" s="187"/>
      <c r="CV21" s="175"/>
    </row>
    <row r="22" spans="2:100" ht="21.75" customHeight="1">
      <c r="B22" s="174"/>
      <c r="C22" s="187"/>
      <c r="D22" s="187"/>
      <c r="E22" s="187"/>
      <c r="F22" s="187"/>
      <c r="G22" s="187"/>
      <c r="H22" s="187"/>
      <c r="I22" s="187"/>
      <c r="J22" s="187"/>
      <c r="K22" s="187"/>
      <c r="L22" s="187"/>
      <c r="M22" s="187"/>
      <c r="N22" s="187"/>
      <c r="O22" s="187"/>
      <c r="P22" s="187"/>
      <c r="Q22" s="187"/>
      <c r="R22" s="187"/>
      <c r="S22" s="187"/>
      <c r="T22" s="187"/>
      <c r="U22" s="187"/>
      <c r="V22" s="187"/>
      <c r="W22" s="187"/>
      <c r="X22" s="187"/>
      <c r="Y22" s="187"/>
      <c r="Z22" s="187"/>
      <c r="AA22" s="187"/>
      <c r="AB22" s="187"/>
      <c r="AC22" s="187"/>
      <c r="AD22" s="187"/>
      <c r="AE22" s="187"/>
      <c r="AF22" s="187"/>
      <c r="AG22" s="187"/>
      <c r="AH22" s="187"/>
      <c r="AI22" s="187"/>
      <c r="AJ22" s="187"/>
      <c r="AK22" s="187"/>
      <c r="AL22" s="187"/>
      <c r="AM22" s="187"/>
      <c r="AN22" s="187"/>
      <c r="AO22" s="187"/>
      <c r="AP22" s="187"/>
      <c r="AQ22" s="187"/>
      <c r="AR22" s="187"/>
      <c r="AS22" s="187"/>
      <c r="AT22" s="187"/>
      <c r="AU22" s="187"/>
      <c r="AV22" s="187"/>
      <c r="AW22" s="187"/>
      <c r="AX22" s="187"/>
      <c r="AY22" s="187"/>
      <c r="AZ22" s="187"/>
      <c r="BA22" s="187"/>
      <c r="BB22" s="187"/>
      <c r="BC22" s="187"/>
      <c r="BD22" s="187"/>
      <c r="BE22" s="187"/>
      <c r="BF22" s="187"/>
      <c r="BG22" s="187"/>
      <c r="BH22" s="187"/>
      <c r="BI22" s="187"/>
      <c r="BJ22" s="187"/>
      <c r="BK22" s="187"/>
      <c r="BL22" s="187"/>
      <c r="BM22" s="187"/>
      <c r="BN22" s="187"/>
      <c r="BO22" s="187"/>
      <c r="BP22" s="187"/>
      <c r="BQ22" s="187"/>
      <c r="BR22" s="187"/>
      <c r="BS22" s="187"/>
      <c r="BT22" s="187"/>
      <c r="BU22" s="187"/>
      <c r="BV22" s="187"/>
      <c r="BW22" s="187"/>
      <c r="BX22" s="187"/>
      <c r="BY22" s="187"/>
      <c r="BZ22" s="187"/>
      <c r="CA22" s="187"/>
      <c r="CB22" s="187"/>
      <c r="CC22" s="187"/>
      <c r="CD22" s="187"/>
      <c r="CE22" s="187"/>
      <c r="CF22" s="187"/>
      <c r="CG22" s="187"/>
      <c r="CH22" s="187"/>
      <c r="CI22" s="187"/>
      <c r="CJ22" s="187"/>
      <c r="CK22" s="187"/>
      <c r="CL22" s="187"/>
      <c r="CM22" s="187"/>
      <c r="CN22" s="187"/>
      <c r="CO22" s="187"/>
      <c r="CP22" s="187"/>
      <c r="CQ22" s="187"/>
      <c r="CR22" s="187"/>
      <c r="CS22" s="187"/>
      <c r="CT22" s="187"/>
      <c r="CU22" s="187"/>
      <c r="CV22" s="175"/>
    </row>
    <row r="23" spans="2:100" ht="21.75" customHeight="1">
      <c r="B23" s="174"/>
      <c r="C23" s="179"/>
      <c r="D23" s="179"/>
      <c r="E23" s="179"/>
      <c r="F23" s="179"/>
      <c r="G23" s="179"/>
      <c r="H23" s="179"/>
      <c r="I23" s="179"/>
      <c r="J23" s="179"/>
      <c r="K23" s="179"/>
      <c r="L23" s="179"/>
      <c r="M23" s="179"/>
      <c r="N23" s="179"/>
      <c r="O23" s="179"/>
      <c r="P23" s="179"/>
      <c r="Q23" s="179"/>
      <c r="R23" s="179"/>
      <c r="S23" s="179"/>
      <c r="T23" s="179"/>
      <c r="U23" s="179"/>
      <c r="V23" s="179"/>
      <c r="W23" s="179"/>
      <c r="X23" s="179"/>
      <c r="Y23" s="179"/>
      <c r="Z23" s="179"/>
      <c r="AA23" s="179"/>
      <c r="AB23" s="179"/>
      <c r="AC23" s="179"/>
      <c r="AD23" s="179"/>
      <c r="AE23" s="179"/>
      <c r="AF23" s="179"/>
      <c r="AG23" s="179"/>
      <c r="AH23" s="179"/>
      <c r="AI23" s="179"/>
      <c r="AJ23" s="179"/>
      <c r="AK23" s="179"/>
      <c r="AL23" s="179"/>
      <c r="AM23" s="179"/>
      <c r="AN23" s="179"/>
      <c r="AO23" s="179"/>
      <c r="AP23" s="179"/>
      <c r="AQ23" s="179"/>
      <c r="AR23" s="179"/>
      <c r="AS23" s="179"/>
      <c r="AT23" s="179"/>
      <c r="AU23" s="179"/>
      <c r="AV23" s="179"/>
      <c r="AW23" s="179"/>
      <c r="AX23" s="179"/>
      <c r="AY23" s="179"/>
      <c r="AZ23" s="179"/>
      <c r="BA23" s="179"/>
      <c r="BB23" s="179"/>
      <c r="BC23" s="179"/>
      <c r="BD23" s="179"/>
      <c r="BE23" s="179"/>
      <c r="BF23" s="179"/>
      <c r="BG23" s="179"/>
      <c r="BH23" s="179"/>
      <c r="BI23" s="179"/>
      <c r="BJ23" s="179"/>
      <c r="BK23" s="179"/>
      <c r="BL23" s="179"/>
      <c r="BM23" s="179"/>
      <c r="BN23" s="179"/>
      <c r="BO23" s="179"/>
      <c r="BP23" s="179"/>
      <c r="BQ23" s="179"/>
      <c r="BR23" s="179"/>
      <c r="BS23" s="179"/>
      <c r="BT23" s="179"/>
      <c r="BU23" s="179"/>
      <c r="BV23" s="179"/>
      <c r="BW23" s="179"/>
      <c r="BX23" s="179"/>
      <c r="BY23" s="179"/>
      <c r="BZ23" s="179"/>
      <c r="CA23" s="179"/>
      <c r="CB23" s="179"/>
      <c r="CC23" s="179"/>
      <c r="CD23" s="179"/>
      <c r="CE23" s="179"/>
      <c r="CF23" s="179"/>
      <c r="CG23" s="179"/>
      <c r="CH23" s="179"/>
      <c r="CI23" s="179"/>
      <c r="CJ23" s="179"/>
      <c r="CK23" s="179"/>
      <c r="CL23" s="179"/>
      <c r="CM23" s="179"/>
      <c r="CN23" s="179"/>
      <c r="CO23" s="179"/>
      <c r="CP23" s="179"/>
      <c r="CQ23" s="179"/>
      <c r="CR23" s="179"/>
      <c r="CS23" s="179"/>
      <c r="CT23" s="179"/>
      <c r="CU23" s="179"/>
      <c r="CV23" s="175"/>
    </row>
    <row r="24" spans="2:100" ht="21.75" customHeight="1">
      <c r="B24" s="174"/>
      <c r="C24" s="172"/>
      <c r="D24" s="172"/>
      <c r="E24" s="172"/>
      <c r="F24" s="172"/>
      <c r="G24" s="172"/>
      <c r="H24" s="172"/>
      <c r="I24" s="172"/>
      <c r="J24" s="172"/>
      <c r="K24" s="172"/>
      <c r="L24" s="172"/>
      <c r="M24" s="172"/>
      <c r="N24" s="172"/>
      <c r="O24" s="172"/>
      <c r="P24" s="172"/>
      <c r="Q24" s="172"/>
      <c r="R24" s="172"/>
      <c r="S24" s="172"/>
      <c r="T24" s="172"/>
      <c r="U24" s="172"/>
      <c r="V24" s="172"/>
      <c r="W24" s="172"/>
      <c r="X24" s="172"/>
      <c r="Y24" s="172"/>
      <c r="Z24" s="172"/>
      <c r="AA24" s="172"/>
      <c r="AB24" s="172"/>
      <c r="AC24" s="172"/>
      <c r="AD24" s="172"/>
      <c r="AE24" s="172"/>
      <c r="AF24" s="172"/>
      <c r="AG24" s="172"/>
      <c r="AH24" s="172"/>
      <c r="AI24" s="172"/>
      <c r="AJ24" s="172"/>
      <c r="AK24" s="172"/>
      <c r="AL24" s="172"/>
      <c r="AM24" s="172"/>
      <c r="AN24" s="172"/>
      <c r="AO24" s="172"/>
      <c r="AP24" s="172"/>
      <c r="AQ24" s="172"/>
      <c r="AR24" s="172"/>
      <c r="AS24" s="172"/>
      <c r="AT24" s="172"/>
      <c r="AU24" s="172"/>
      <c r="AV24" s="172"/>
      <c r="AW24" s="172"/>
      <c r="AX24" s="172"/>
      <c r="AY24" s="172"/>
      <c r="AZ24" s="172"/>
      <c r="BA24" s="172"/>
      <c r="BB24" s="172"/>
      <c r="BC24" s="172"/>
      <c r="BD24" s="172"/>
      <c r="BE24" s="172"/>
      <c r="BF24" s="172"/>
      <c r="BG24" s="172"/>
      <c r="BH24" s="172"/>
      <c r="BI24" s="172"/>
      <c r="BJ24" s="172"/>
      <c r="BK24" s="172"/>
      <c r="BL24" s="172"/>
      <c r="BM24" s="172"/>
      <c r="BN24" s="172"/>
      <c r="BO24" s="172"/>
      <c r="BP24" s="172"/>
      <c r="BQ24" s="172"/>
      <c r="BR24" s="172"/>
      <c r="BS24" s="172"/>
      <c r="BT24" s="172"/>
      <c r="BU24" s="172"/>
      <c r="BV24" s="172"/>
      <c r="BW24" s="172"/>
      <c r="BX24" s="172"/>
      <c r="BY24" s="172"/>
      <c r="BZ24" s="172"/>
      <c r="CA24" s="172"/>
      <c r="CB24" s="172"/>
      <c r="CC24" s="172"/>
      <c r="CD24" s="172"/>
      <c r="CE24" s="172"/>
      <c r="CF24" s="172"/>
      <c r="CG24" s="172"/>
      <c r="CH24" s="172"/>
      <c r="CI24" s="172"/>
      <c r="CJ24" s="172"/>
      <c r="CK24" s="172"/>
      <c r="CL24" s="172"/>
      <c r="CM24" s="172"/>
      <c r="CN24" s="172"/>
      <c r="CO24" s="172"/>
      <c r="CP24" s="172"/>
      <c r="CQ24" s="172"/>
      <c r="CR24" s="172"/>
      <c r="CS24" s="172"/>
      <c r="CT24" s="172"/>
      <c r="CU24" s="172"/>
      <c r="CV24" s="175"/>
    </row>
    <row r="25" spans="2:100" ht="21.75" customHeight="1">
      <c r="B25" s="174"/>
      <c r="C25" s="172"/>
      <c r="D25" s="172"/>
      <c r="E25" s="172"/>
      <c r="F25" s="172"/>
      <c r="G25" s="172"/>
      <c r="H25" s="172"/>
      <c r="I25" s="172"/>
      <c r="J25" s="172"/>
      <c r="K25" s="172"/>
      <c r="L25" s="172"/>
      <c r="M25" s="172"/>
      <c r="N25" s="172"/>
      <c r="O25" s="172"/>
      <c r="P25" s="172"/>
      <c r="Q25" s="172"/>
      <c r="R25" s="172"/>
      <c r="S25" s="172"/>
      <c r="T25" s="172"/>
      <c r="U25" s="172"/>
      <c r="V25" s="172"/>
      <c r="W25" s="172"/>
      <c r="X25" s="172"/>
      <c r="Y25" s="172"/>
      <c r="Z25" s="172"/>
      <c r="AA25" s="172"/>
      <c r="AB25" s="172"/>
      <c r="AC25" s="172"/>
      <c r="AD25" s="172"/>
      <c r="AE25" s="172"/>
      <c r="AF25" s="172"/>
      <c r="AG25" s="172"/>
      <c r="AH25" s="172"/>
      <c r="AI25" s="172"/>
      <c r="AJ25" s="172"/>
      <c r="AK25" s="172"/>
      <c r="AL25" s="172"/>
      <c r="AM25" s="172"/>
      <c r="AN25" s="172"/>
      <c r="AO25" s="172"/>
      <c r="AP25" s="172"/>
      <c r="AQ25" s="172"/>
      <c r="AR25" s="172"/>
      <c r="AS25" s="172"/>
      <c r="AT25" s="172"/>
      <c r="AU25" s="172"/>
      <c r="AV25" s="172"/>
      <c r="AW25" s="172"/>
      <c r="AX25" s="172"/>
      <c r="AY25" s="172"/>
      <c r="AZ25" s="172"/>
      <c r="BA25" s="172"/>
      <c r="BB25" s="172"/>
      <c r="BC25" s="172"/>
      <c r="BD25" s="172"/>
      <c r="BE25" s="172"/>
      <c r="BF25" s="172"/>
      <c r="BG25" s="172"/>
      <c r="BH25" s="172"/>
      <c r="BI25" s="172"/>
      <c r="BJ25" s="172"/>
      <c r="BK25" s="172"/>
      <c r="BL25" s="172"/>
      <c r="BM25" s="172"/>
      <c r="BN25" s="172"/>
      <c r="BO25" s="172"/>
      <c r="BP25" s="172"/>
      <c r="BQ25" s="172"/>
      <c r="BR25" s="172"/>
      <c r="BS25" s="172"/>
      <c r="BT25" s="172"/>
      <c r="BU25" s="172"/>
      <c r="BV25" s="172"/>
      <c r="BW25" s="172"/>
      <c r="BX25" s="172"/>
      <c r="BY25" s="172"/>
      <c r="BZ25" s="172"/>
      <c r="CA25" s="172"/>
      <c r="CB25" s="172"/>
      <c r="CC25" s="172"/>
      <c r="CD25" s="172"/>
      <c r="CE25" s="172"/>
      <c r="CF25" s="172"/>
      <c r="CG25" s="172"/>
      <c r="CH25" s="172"/>
      <c r="CI25" s="172"/>
      <c r="CJ25" s="172"/>
      <c r="CK25" s="172"/>
      <c r="CL25" s="172"/>
      <c r="CM25" s="172"/>
      <c r="CN25" s="172"/>
      <c r="CO25" s="172"/>
      <c r="CP25" s="172"/>
      <c r="CQ25" s="172"/>
      <c r="CR25" s="172"/>
      <c r="CS25" s="172"/>
      <c r="CT25" s="172"/>
      <c r="CU25" s="179"/>
      <c r="CV25" s="175"/>
    </row>
    <row r="26" spans="2:100" ht="21.75" customHeight="1">
      <c r="B26" s="174"/>
      <c r="C26" s="285" t="s">
        <v>1761</v>
      </c>
      <c r="D26" s="286"/>
      <c r="E26" s="286"/>
      <c r="F26" s="286"/>
      <c r="G26" s="286"/>
      <c r="H26" s="286"/>
      <c r="I26" s="286"/>
      <c r="J26" s="286"/>
      <c r="K26" s="286"/>
      <c r="L26" s="286"/>
      <c r="M26" s="286"/>
      <c r="N26" s="286"/>
      <c r="O26" s="286"/>
      <c r="P26" s="286"/>
      <c r="Q26" s="286"/>
      <c r="R26" s="184"/>
      <c r="S26" s="184"/>
      <c r="T26" s="184"/>
      <c r="U26" s="184"/>
      <c r="V26" s="184"/>
      <c r="W26" s="184"/>
      <c r="X26" s="184"/>
      <c r="Y26" s="184"/>
      <c r="Z26" s="285" t="s">
        <v>1760</v>
      </c>
      <c r="AA26" s="286"/>
      <c r="AB26" s="286"/>
      <c r="AC26" s="286"/>
      <c r="AD26" s="286"/>
      <c r="AE26" s="286"/>
      <c r="AF26" s="286"/>
      <c r="AG26" s="286"/>
      <c r="AH26" s="286"/>
      <c r="AI26" s="286"/>
      <c r="AJ26" s="286"/>
      <c r="AK26" s="286"/>
      <c r="AL26" s="286"/>
      <c r="AM26" s="286"/>
      <c r="AN26" s="286"/>
      <c r="AO26" s="286"/>
      <c r="AP26" s="286"/>
      <c r="AQ26" s="286"/>
      <c r="AR26" s="286"/>
      <c r="AS26" s="286"/>
      <c r="AT26" s="286"/>
      <c r="AU26" s="286"/>
      <c r="AV26" s="286"/>
      <c r="AW26" s="286"/>
      <c r="AX26" s="286"/>
      <c r="AY26" s="286"/>
      <c r="AZ26" s="286"/>
      <c r="BA26" s="286"/>
      <c r="BB26" s="286"/>
      <c r="BC26" s="286"/>
      <c r="BD26" s="286"/>
      <c r="BE26" s="286"/>
      <c r="BF26" s="286"/>
      <c r="BG26" s="286"/>
      <c r="BH26" s="286"/>
      <c r="BI26" s="286"/>
      <c r="BJ26" s="286"/>
      <c r="BK26" s="286"/>
      <c r="BL26" s="286"/>
      <c r="BM26" s="286"/>
      <c r="BN26" s="286"/>
      <c r="BO26" s="286"/>
      <c r="BP26" s="286"/>
      <c r="BQ26" s="286"/>
      <c r="BR26" s="286"/>
      <c r="BS26" s="286"/>
      <c r="BT26" s="286"/>
      <c r="BU26" s="286"/>
      <c r="BV26" s="286"/>
      <c r="BW26" s="286"/>
      <c r="BX26" s="286"/>
      <c r="BY26" s="286"/>
      <c r="BZ26" s="286"/>
      <c r="CA26" s="286"/>
      <c r="CB26" s="286"/>
      <c r="CC26" s="286"/>
      <c r="CD26" s="286"/>
      <c r="CE26" s="286"/>
      <c r="CF26" s="286"/>
      <c r="CG26" s="286"/>
      <c r="CH26" s="286"/>
      <c r="CI26" s="286"/>
      <c r="CJ26" s="286"/>
      <c r="CK26" s="286"/>
      <c r="CL26" s="286"/>
      <c r="CM26" s="286"/>
      <c r="CN26" s="286"/>
      <c r="CO26" s="286"/>
      <c r="CP26" s="286"/>
      <c r="CQ26" s="286"/>
      <c r="CR26" s="286"/>
      <c r="CS26" s="286"/>
      <c r="CT26" s="286"/>
      <c r="CU26" s="286"/>
      <c r="CV26" s="175"/>
    </row>
    <row r="27" spans="2:100" ht="21.75" customHeight="1">
      <c r="B27" s="174"/>
      <c r="C27" s="287" t="s">
        <v>1730</v>
      </c>
      <c r="D27" s="187"/>
      <c r="E27" s="187"/>
      <c r="F27" s="187"/>
      <c r="G27" s="187"/>
      <c r="H27" s="187"/>
      <c r="I27" s="187"/>
      <c r="J27" s="187"/>
      <c r="K27" s="187"/>
      <c r="L27" s="187"/>
      <c r="M27" s="187"/>
      <c r="N27" s="187"/>
      <c r="O27" s="187"/>
      <c r="P27" s="187"/>
      <c r="Q27" s="187"/>
      <c r="R27" s="185"/>
      <c r="S27" s="185"/>
      <c r="T27" s="185"/>
      <c r="U27" s="185"/>
      <c r="V27" s="185"/>
      <c r="W27" s="288"/>
      <c r="X27" s="289"/>
      <c r="Y27" s="289"/>
      <c r="Z27" s="287" t="s">
        <v>1763</v>
      </c>
      <c r="AA27" s="187"/>
      <c r="AB27" s="187"/>
      <c r="AC27" s="187"/>
      <c r="AD27" s="187"/>
      <c r="AE27" s="187"/>
      <c r="AF27" s="187"/>
      <c r="AG27" s="187"/>
      <c r="AH27" s="187"/>
      <c r="AI27" s="187"/>
      <c r="AJ27" s="187"/>
      <c r="AK27" s="187"/>
      <c r="AL27" s="187"/>
      <c r="AM27" s="187"/>
      <c r="AN27" s="187"/>
      <c r="AO27" s="187"/>
      <c r="AP27" s="187"/>
      <c r="AQ27" s="187"/>
      <c r="AR27" s="187"/>
      <c r="AS27" s="187"/>
      <c r="AT27" s="187"/>
      <c r="AU27" s="187"/>
      <c r="AV27" s="187"/>
      <c r="AW27" s="187"/>
      <c r="AX27" s="187"/>
      <c r="AY27" s="187"/>
      <c r="AZ27" s="187"/>
      <c r="BA27" s="187"/>
      <c r="BB27" s="187"/>
      <c r="BC27" s="187"/>
      <c r="BD27" s="187"/>
      <c r="BE27" s="187"/>
      <c r="BF27" s="187"/>
      <c r="BG27" s="187"/>
      <c r="BH27" s="187"/>
      <c r="BI27" s="187"/>
      <c r="BJ27" s="187"/>
      <c r="BK27" s="187"/>
      <c r="BL27" s="187"/>
      <c r="BM27" s="187"/>
      <c r="BN27" s="187"/>
      <c r="BO27" s="187"/>
      <c r="BP27" s="187"/>
      <c r="BQ27" s="187"/>
      <c r="BR27" s="187"/>
      <c r="BS27" s="187"/>
      <c r="BT27" s="187"/>
      <c r="BU27" s="187"/>
      <c r="BV27" s="187"/>
      <c r="BW27" s="187"/>
      <c r="BX27" s="187"/>
      <c r="BY27" s="187"/>
      <c r="BZ27" s="187"/>
      <c r="CA27" s="187"/>
      <c r="CB27" s="187"/>
      <c r="CC27" s="187"/>
      <c r="CD27" s="187"/>
      <c r="CE27" s="187"/>
      <c r="CF27" s="187"/>
      <c r="CG27" s="187"/>
      <c r="CH27" s="187"/>
      <c r="CI27" s="187"/>
      <c r="CJ27" s="187"/>
      <c r="CK27" s="187"/>
      <c r="CL27" s="187"/>
      <c r="CM27" s="187"/>
      <c r="CN27" s="187"/>
      <c r="CO27" s="187"/>
      <c r="CP27" s="187"/>
      <c r="CQ27" s="187"/>
      <c r="CR27" s="187"/>
      <c r="CS27" s="187"/>
      <c r="CT27" s="187"/>
      <c r="CU27" s="187"/>
      <c r="CV27" s="175"/>
    </row>
    <row r="28" spans="2:100" ht="21.75" customHeight="1">
      <c r="B28" s="174"/>
      <c r="C28" s="304" t="s">
        <v>1740</v>
      </c>
      <c r="D28" s="305"/>
      <c r="E28" s="305"/>
      <c r="F28" s="305"/>
      <c r="G28" s="305"/>
      <c r="H28" s="305"/>
      <c r="I28" s="305"/>
      <c r="J28" s="305"/>
      <c r="K28" s="305"/>
      <c r="L28" s="305"/>
      <c r="M28" s="305"/>
      <c r="N28" s="305"/>
      <c r="O28" s="305"/>
      <c r="P28" s="305"/>
      <c r="Q28" s="305"/>
      <c r="R28" s="305"/>
      <c r="S28" s="305"/>
      <c r="T28" s="305"/>
      <c r="U28" s="305"/>
      <c r="V28" s="305"/>
      <c r="W28" s="305"/>
      <c r="X28" s="305"/>
      <c r="Y28" s="305"/>
      <c r="Z28" s="305"/>
      <c r="AA28" s="305"/>
      <c r="AB28" s="305"/>
      <c r="AC28" s="305"/>
      <c r="AD28" s="305"/>
      <c r="AE28" s="305"/>
      <c r="AF28" s="305"/>
      <c r="AG28" s="305"/>
      <c r="AH28" s="305"/>
      <c r="AI28" s="305"/>
      <c r="AJ28" s="305"/>
      <c r="AK28" s="305"/>
      <c r="AL28" s="305"/>
      <c r="AM28" s="305"/>
      <c r="AN28" s="305"/>
      <c r="AO28" s="305"/>
      <c r="AP28" s="305"/>
      <c r="AQ28" s="305"/>
      <c r="AR28" s="305"/>
      <c r="AS28" s="305"/>
      <c r="AT28" s="305"/>
      <c r="AU28" s="305"/>
      <c r="AV28" s="305"/>
      <c r="AW28" s="305"/>
      <c r="AX28" s="305"/>
      <c r="AY28" s="305"/>
      <c r="AZ28" s="305"/>
      <c r="BA28" s="305"/>
      <c r="BB28" s="305"/>
      <c r="BC28" s="305"/>
      <c r="BD28" s="305"/>
      <c r="BE28" s="305"/>
      <c r="BF28" s="305"/>
      <c r="BG28" s="305"/>
      <c r="BH28" s="305"/>
      <c r="BI28" s="165"/>
      <c r="BJ28" s="165"/>
      <c r="BK28" s="165"/>
      <c r="BL28" s="165"/>
      <c r="BM28" s="165"/>
      <c r="BN28" s="165"/>
      <c r="BO28" s="178"/>
      <c r="BP28" s="179"/>
      <c r="BQ28" s="179"/>
      <c r="BR28" s="179"/>
      <c r="BS28" s="179"/>
      <c r="BT28" s="179"/>
      <c r="BU28" s="179"/>
      <c r="BV28" s="179"/>
      <c r="BW28" s="179"/>
      <c r="BX28" s="179"/>
      <c r="BY28" s="179"/>
      <c r="BZ28" s="179"/>
      <c r="CA28" s="179"/>
      <c r="CB28" s="179"/>
      <c r="CC28" s="179"/>
      <c r="CD28" s="179"/>
      <c r="CE28" s="179"/>
      <c r="CF28" s="179"/>
      <c r="CG28" s="179"/>
      <c r="CH28" s="179"/>
      <c r="CI28" s="179"/>
      <c r="CJ28" s="179"/>
      <c r="CK28" s="179"/>
      <c r="CL28" s="179"/>
      <c r="CM28" s="179"/>
      <c r="CN28" s="179"/>
      <c r="CO28" s="179"/>
      <c r="CP28" s="179"/>
      <c r="CQ28" s="179"/>
      <c r="CR28" s="179"/>
      <c r="CS28" s="179"/>
      <c r="CT28" s="179"/>
      <c r="CU28" s="179"/>
      <c r="CV28" s="175"/>
    </row>
    <row r="29" spans="2:100" ht="21.75" customHeight="1">
      <c r="B29" s="174"/>
      <c r="C29" s="287" t="s">
        <v>1764</v>
      </c>
      <c r="D29" s="293"/>
      <c r="E29" s="293"/>
      <c r="F29" s="293"/>
      <c r="G29" s="293"/>
      <c r="H29" s="293"/>
      <c r="I29" s="293"/>
      <c r="J29" s="293"/>
      <c r="K29" s="293"/>
      <c r="L29" s="293"/>
      <c r="M29" s="293"/>
      <c r="N29" s="293"/>
      <c r="O29" s="293"/>
      <c r="P29" s="293"/>
      <c r="Q29" s="293"/>
      <c r="R29" s="293"/>
      <c r="S29" s="293"/>
      <c r="T29" s="293"/>
      <c r="U29" s="293"/>
      <c r="V29" s="293"/>
      <c r="W29" s="293"/>
      <c r="X29" s="293"/>
      <c r="Y29" s="293"/>
      <c r="Z29" s="293"/>
      <c r="AA29" s="293"/>
      <c r="AB29" s="293"/>
      <c r="AC29" s="293"/>
      <c r="AD29" s="293"/>
      <c r="AE29" s="293"/>
      <c r="AF29" s="293"/>
      <c r="AG29" s="293"/>
      <c r="AH29" s="293"/>
      <c r="AI29" s="293"/>
      <c r="AJ29" s="293"/>
      <c r="AK29" s="293"/>
      <c r="AL29" s="293"/>
      <c r="AM29" s="293"/>
      <c r="AN29" s="293"/>
      <c r="AO29" s="293"/>
      <c r="AP29" s="293"/>
      <c r="AQ29" s="293"/>
      <c r="AR29" s="293"/>
      <c r="AS29" s="293"/>
      <c r="AT29" s="293"/>
      <c r="AU29" s="293"/>
      <c r="AV29" s="293"/>
      <c r="AW29" s="293"/>
      <c r="AX29" s="293"/>
      <c r="AY29" s="293"/>
      <c r="AZ29" s="293"/>
      <c r="BA29" s="293"/>
      <c r="BB29" s="293"/>
      <c r="BC29" s="293"/>
      <c r="BD29" s="293"/>
      <c r="BE29" s="293"/>
      <c r="BF29" s="293"/>
      <c r="BG29" s="293"/>
      <c r="BH29" s="293"/>
      <c r="BI29" s="293"/>
      <c r="BJ29" s="293"/>
      <c r="BK29" s="293"/>
      <c r="BL29" s="293"/>
      <c r="BM29" s="293"/>
      <c r="BN29" s="293"/>
      <c r="BO29" s="187"/>
      <c r="BP29" s="187"/>
      <c r="BQ29" s="187"/>
      <c r="BR29" s="187"/>
      <c r="BS29" s="187"/>
      <c r="BT29" s="187"/>
      <c r="BU29" s="187"/>
      <c r="BV29" s="187"/>
      <c r="BW29" s="187"/>
      <c r="BX29" s="187"/>
      <c r="BY29" s="187"/>
      <c r="BZ29" s="187"/>
      <c r="CA29" s="187"/>
      <c r="CB29" s="187"/>
      <c r="CC29" s="187"/>
      <c r="CD29" s="187"/>
      <c r="CE29" s="187"/>
      <c r="CF29" s="187"/>
      <c r="CG29" s="187"/>
      <c r="CH29" s="187"/>
      <c r="CI29" s="187"/>
      <c r="CJ29" s="187"/>
      <c r="CK29" s="187"/>
      <c r="CL29" s="187"/>
      <c r="CM29" s="187"/>
      <c r="CN29" s="187"/>
      <c r="CO29" s="187"/>
      <c r="CP29" s="187"/>
      <c r="CQ29" s="187"/>
      <c r="CR29" s="187"/>
      <c r="CS29" s="187"/>
      <c r="CT29" s="187"/>
      <c r="CU29" s="187"/>
      <c r="CV29" s="175"/>
    </row>
    <row r="30" spans="2:100" ht="21.75" customHeight="1">
      <c r="B30" s="174"/>
      <c r="C30" s="187"/>
      <c r="D30" s="187"/>
      <c r="E30" s="187"/>
      <c r="F30" s="187"/>
      <c r="G30" s="187"/>
      <c r="H30" s="187"/>
      <c r="I30" s="187"/>
      <c r="J30" s="187"/>
      <c r="K30" s="187"/>
      <c r="L30" s="187"/>
      <c r="M30" s="187"/>
      <c r="N30" s="187"/>
      <c r="O30" s="187"/>
      <c r="P30" s="187"/>
      <c r="Q30" s="187"/>
      <c r="R30" s="187"/>
      <c r="S30" s="187"/>
      <c r="T30" s="187"/>
      <c r="U30" s="187"/>
      <c r="V30" s="187"/>
      <c r="W30" s="187"/>
      <c r="X30" s="187"/>
      <c r="Y30" s="187"/>
      <c r="Z30" s="187"/>
      <c r="AA30" s="187"/>
      <c r="AB30" s="187"/>
      <c r="AC30" s="187"/>
      <c r="AD30" s="187"/>
      <c r="AE30" s="187"/>
      <c r="AF30" s="187"/>
      <c r="AG30" s="187"/>
      <c r="AH30" s="187"/>
      <c r="AI30" s="187"/>
      <c r="AJ30" s="187"/>
      <c r="AK30" s="187"/>
      <c r="AL30" s="187"/>
      <c r="AM30" s="187"/>
      <c r="AN30" s="187"/>
      <c r="AO30" s="187"/>
      <c r="AP30" s="187"/>
      <c r="AQ30" s="187"/>
      <c r="AR30" s="187"/>
      <c r="AS30" s="187"/>
      <c r="AT30" s="187"/>
      <c r="AU30" s="187"/>
      <c r="AV30" s="187"/>
      <c r="AW30" s="187"/>
      <c r="AX30" s="187"/>
      <c r="AY30" s="187"/>
      <c r="AZ30" s="187"/>
      <c r="BA30" s="187"/>
      <c r="BB30" s="187"/>
      <c r="BC30" s="187"/>
      <c r="BD30" s="187"/>
      <c r="BE30" s="187"/>
      <c r="BF30" s="187"/>
      <c r="BG30" s="187"/>
      <c r="BH30" s="187"/>
      <c r="BI30" s="187"/>
      <c r="BJ30" s="187"/>
      <c r="BK30" s="187"/>
      <c r="BL30" s="187"/>
      <c r="BM30" s="187"/>
      <c r="BN30" s="187"/>
      <c r="BO30" s="187"/>
      <c r="BP30" s="187"/>
      <c r="BQ30" s="187"/>
      <c r="BR30" s="187"/>
      <c r="BS30" s="187"/>
      <c r="BT30" s="187"/>
      <c r="BU30" s="187"/>
      <c r="BV30" s="187"/>
      <c r="BW30" s="187"/>
      <c r="BX30" s="187"/>
      <c r="BY30" s="187"/>
      <c r="BZ30" s="187"/>
      <c r="CA30" s="187"/>
      <c r="CB30" s="187"/>
      <c r="CC30" s="187"/>
      <c r="CD30" s="187"/>
      <c r="CE30" s="187"/>
      <c r="CF30" s="187"/>
      <c r="CG30" s="187"/>
      <c r="CH30" s="187"/>
      <c r="CI30" s="187"/>
      <c r="CJ30" s="187"/>
      <c r="CK30" s="187"/>
      <c r="CL30" s="187"/>
      <c r="CM30" s="187"/>
      <c r="CN30" s="187"/>
      <c r="CO30" s="187"/>
      <c r="CP30" s="187"/>
      <c r="CQ30" s="187"/>
      <c r="CR30" s="187"/>
      <c r="CS30" s="187"/>
      <c r="CT30" s="187"/>
      <c r="CU30" s="187"/>
      <c r="CV30" s="175"/>
    </row>
    <row r="31" spans="2:100" ht="21.75" customHeight="1">
      <c r="B31" s="174"/>
      <c r="C31" s="304" t="s">
        <v>1741</v>
      </c>
      <c r="D31" s="305"/>
      <c r="E31" s="305"/>
      <c r="F31" s="305"/>
      <c r="G31" s="305"/>
      <c r="H31" s="305"/>
      <c r="I31" s="305"/>
      <c r="J31" s="305"/>
      <c r="K31" s="305"/>
      <c r="L31" s="305"/>
      <c r="M31" s="305"/>
      <c r="N31" s="305"/>
      <c r="O31" s="305"/>
      <c r="P31" s="305"/>
      <c r="Q31" s="305"/>
      <c r="R31" s="305"/>
      <c r="S31" s="305"/>
      <c r="T31" s="305"/>
      <c r="U31" s="305"/>
      <c r="V31" s="305"/>
      <c r="W31" s="305"/>
      <c r="X31" s="305"/>
      <c r="Y31" s="305"/>
      <c r="Z31" s="305"/>
      <c r="AA31" s="305"/>
      <c r="AB31" s="305"/>
      <c r="AC31" s="305"/>
      <c r="AD31" s="305"/>
      <c r="AE31" s="305"/>
      <c r="AF31" s="305"/>
      <c r="AG31" s="305"/>
      <c r="AH31" s="305"/>
      <c r="AI31" s="305"/>
      <c r="AJ31" s="305"/>
      <c r="AK31" s="305"/>
      <c r="AL31" s="305"/>
      <c r="AM31" s="305"/>
      <c r="AN31" s="305"/>
      <c r="AO31" s="305"/>
      <c r="AP31" s="305"/>
      <c r="AQ31" s="305"/>
      <c r="AR31" s="305"/>
      <c r="AS31" s="305"/>
      <c r="AT31" s="305"/>
      <c r="AU31" s="305"/>
      <c r="AV31" s="305"/>
      <c r="AW31" s="305"/>
      <c r="AX31" s="305"/>
      <c r="AY31" s="305"/>
      <c r="AZ31" s="305"/>
      <c r="BA31" s="305"/>
      <c r="BB31" s="305"/>
      <c r="BC31" s="305"/>
      <c r="BD31" s="305"/>
      <c r="BE31" s="305"/>
      <c r="BF31" s="305"/>
      <c r="BG31" s="305"/>
      <c r="BH31" s="305"/>
      <c r="BI31" s="165"/>
      <c r="BJ31" s="165"/>
      <c r="BK31" s="165"/>
      <c r="BL31" s="165"/>
      <c r="BM31" s="165"/>
      <c r="BN31" s="165"/>
      <c r="BO31" s="178"/>
      <c r="BP31" s="179"/>
      <c r="BQ31" s="179"/>
      <c r="BR31" s="179"/>
      <c r="BS31" s="179"/>
      <c r="BT31" s="179"/>
      <c r="BU31" s="179"/>
      <c r="BV31" s="179"/>
      <c r="BW31" s="179"/>
      <c r="BX31" s="179"/>
      <c r="BY31" s="179"/>
      <c r="BZ31" s="179"/>
      <c r="CA31" s="179"/>
      <c r="CB31" s="179"/>
      <c r="CC31" s="179"/>
      <c r="CD31" s="179"/>
      <c r="CE31" s="179"/>
      <c r="CF31" s="179"/>
      <c r="CG31" s="179"/>
      <c r="CH31" s="179"/>
      <c r="CI31" s="179"/>
      <c r="CJ31" s="179"/>
      <c r="CK31" s="179"/>
      <c r="CL31" s="179"/>
      <c r="CM31" s="179"/>
      <c r="CN31" s="179"/>
      <c r="CO31" s="179"/>
      <c r="CP31" s="179"/>
      <c r="CQ31" s="179"/>
      <c r="CR31" s="179"/>
      <c r="CS31" s="179"/>
      <c r="CT31" s="179"/>
      <c r="CU31" s="179"/>
      <c r="CV31" s="175"/>
    </row>
    <row r="32" spans="2:100" ht="21.75" customHeight="1">
      <c r="B32" s="174"/>
      <c r="C32" s="287" t="s">
        <v>1765</v>
      </c>
      <c r="D32" s="293"/>
      <c r="E32" s="293"/>
      <c r="F32" s="293"/>
      <c r="G32" s="293"/>
      <c r="H32" s="293"/>
      <c r="I32" s="293"/>
      <c r="J32" s="293"/>
      <c r="K32" s="293"/>
      <c r="L32" s="293"/>
      <c r="M32" s="293"/>
      <c r="N32" s="293"/>
      <c r="O32" s="293"/>
      <c r="P32" s="293"/>
      <c r="Q32" s="293"/>
      <c r="R32" s="293"/>
      <c r="S32" s="293"/>
      <c r="T32" s="293"/>
      <c r="U32" s="293"/>
      <c r="V32" s="293"/>
      <c r="W32" s="293"/>
      <c r="X32" s="293"/>
      <c r="Y32" s="293"/>
      <c r="Z32" s="293"/>
      <c r="AA32" s="293"/>
      <c r="AB32" s="293"/>
      <c r="AC32" s="293"/>
      <c r="AD32" s="293"/>
      <c r="AE32" s="293"/>
      <c r="AF32" s="293"/>
      <c r="AG32" s="293"/>
      <c r="AH32" s="293"/>
      <c r="AI32" s="293"/>
      <c r="AJ32" s="293"/>
      <c r="AK32" s="293"/>
      <c r="AL32" s="293"/>
      <c r="AM32" s="293"/>
      <c r="AN32" s="293"/>
      <c r="AO32" s="293"/>
      <c r="AP32" s="293"/>
      <c r="AQ32" s="293"/>
      <c r="AR32" s="293"/>
      <c r="AS32" s="293"/>
      <c r="AT32" s="293"/>
      <c r="AU32" s="293"/>
      <c r="AV32" s="293"/>
      <c r="AW32" s="293"/>
      <c r="AX32" s="293"/>
      <c r="AY32" s="293"/>
      <c r="AZ32" s="293"/>
      <c r="BA32" s="293"/>
      <c r="BB32" s="293"/>
      <c r="BC32" s="293"/>
      <c r="BD32" s="293"/>
      <c r="BE32" s="293"/>
      <c r="BF32" s="293"/>
      <c r="BG32" s="293"/>
      <c r="BH32" s="293"/>
      <c r="BI32" s="293"/>
      <c r="BJ32" s="293"/>
      <c r="BK32" s="293"/>
      <c r="BL32" s="293"/>
      <c r="BM32" s="293"/>
      <c r="BN32" s="293"/>
      <c r="BO32" s="187"/>
      <c r="BP32" s="187"/>
      <c r="BQ32" s="187"/>
      <c r="BR32" s="187"/>
      <c r="BS32" s="187"/>
      <c r="BT32" s="187"/>
      <c r="BU32" s="187"/>
      <c r="BV32" s="187"/>
      <c r="BW32" s="187"/>
      <c r="BX32" s="187"/>
      <c r="BY32" s="187"/>
      <c r="BZ32" s="187"/>
      <c r="CA32" s="187"/>
      <c r="CB32" s="187"/>
      <c r="CC32" s="187"/>
      <c r="CD32" s="187"/>
      <c r="CE32" s="187"/>
      <c r="CF32" s="187"/>
      <c r="CG32" s="187"/>
      <c r="CH32" s="187"/>
      <c r="CI32" s="187"/>
      <c r="CJ32" s="187"/>
      <c r="CK32" s="187"/>
      <c r="CL32" s="187"/>
      <c r="CM32" s="187"/>
      <c r="CN32" s="187"/>
      <c r="CO32" s="187"/>
      <c r="CP32" s="187"/>
      <c r="CQ32" s="187"/>
      <c r="CR32" s="187"/>
      <c r="CS32" s="187"/>
      <c r="CT32" s="187"/>
      <c r="CU32" s="187"/>
      <c r="CV32" s="175"/>
    </row>
    <row r="33" spans="2:100" ht="21.75" customHeight="1">
      <c r="B33" s="174"/>
      <c r="C33" s="187"/>
      <c r="D33" s="187"/>
      <c r="E33" s="187"/>
      <c r="F33" s="187"/>
      <c r="G33" s="187"/>
      <c r="H33" s="187"/>
      <c r="I33" s="187"/>
      <c r="J33" s="187"/>
      <c r="K33" s="187"/>
      <c r="L33" s="187"/>
      <c r="M33" s="187"/>
      <c r="N33" s="187"/>
      <c r="O33" s="187"/>
      <c r="P33" s="187"/>
      <c r="Q33" s="187"/>
      <c r="R33" s="187"/>
      <c r="S33" s="187"/>
      <c r="T33" s="187"/>
      <c r="U33" s="187"/>
      <c r="V33" s="187"/>
      <c r="W33" s="187"/>
      <c r="X33" s="187"/>
      <c r="Y33" s="187"/>
      <c r="Z33" s="187"/>
      <c r="AA33" s="187"/>
      <c r="AB33" s="187"/>
      <c r="AC33" s="187"/>
      <c r="AD33" s="187"/>
      <c r="AE33" s="187"/>
      <c r="AF33" s="187"/>
      <c r="AG33" s="187"/>
      <c r="AH33" s="187"/>
      <c r="AI33" s="187"/>
      <c r="AJ33" s="187"/>
      <c r="AK33" s="187"/>
      <c r="AL33" s="187"/>
      <c r="AM33" s="187"/>
      <c r="AN33" s="187"/>
      <c r="AO33" s="187"/>
      <c r="AP33" s="187"/>
      <c r="AQ33" s="187"/>
      <c r="AR33" s="187"/>
      <c r="AS33" s="187"/>
      <c r="AT33" s="187"/>
      <c r="AU33" s="187"/>
      <c r="AV33" s="187"/>
      <c r="AW33" s="187"/>
      <c r="AX33" s="187"/>
      <c r="AY33" s="187"/>
      <c r="AZ33" s="187"/>
      <c r="BA33" s="187"/>
      <c r="BB33" s="187"/>
      <c r="BC33" s="187"/>
      <c r="BD33" s="187"/>
      <c r="BE33" s="187"/>
      <c r="BF33" s="187"/>
      <c r="BG33" s="187"/>
      <c r="BH33" s="187"/>
      <c r="BI33" s="187"/>
      <c r="BJ33" s="187"/>
      <c r="BK33" s="187"/>
      <c r="BL33" s="187"/>
      <c r="BM33" s="187"/>
      <c r="BN33" s="187"/>
      <c r="BO33" s="187"/>
      <c r="BP33" s="187"/>
      <c r="BQ33" s="187"/>
      <c r="BR33" s="187"/>
      <c r="BS33" s="187"/>
      <c r="BT33" s="187"/>
      <c r="BU33" s="187"/>
      <c r="BV33" s="187"/>
      <c r="BW33" s="187"/>
      <c r="BX33" s="187"/>
      <c r="BY33" s="187"/>
      <c r="BZ33" s="187"/>
      <c r="CA33" s="187"/>
      <c r="CB33" s="187"/>
      <c r="CC33" s="187"/>
      <c r="CD33" s="187"/>
      <c r="CE33" s="187"/>
      <c r="CF33" s="187"/>
      <c r="CG33" s="187"/>
      <c r="CH33" s="187"/>
      <c r="CI33" s="187"/>
      <c r="CJ33" s="187"/>
      <c r="CK33" s="187"/>
      <c r="CL33" s="187"/>
      <c r="CM33" s="187"/>
      <c r="CN33" s="187"/>
      <c r="CO33" s="187"/>
      <c r="CP33" s="187"/>
      <c r="CQ33" s="187"/>
      <c r="CR33" s="187"/>
      <c r="CS33" s="187"/>
      <c r="CT33" s="187"/>
      <c r="CU33" s="187"/>
      <c r="CV33" s="175"/>
    </row>
    <row r="34" spans="2:100" ht="21.75" customHeight="1">
      <c r="B34" s="174"/>
      <c r="C34" s="304" t="s">
        <v>1742</v>
      </c>
      <c r="D34" s="305"/>
      <c r="E34" s="305"/>
      <c r="F34" s="305"/>
      <c r="G34" s="305"/>
      <c r="H34" s="305"/>
      <c r="I34" s="305"/>
      <c r="J34" s="305"/>
      <c r="K34" s="305"/>
      <c r="L34" s="305"/>
      <c r="M34" s="305"/>
      <c r="N34" s="305"/>
      <c r="O34" s="305"/>
      <c r="P34" s="305"/>
      <c r="Q34" s="305"/>
      <c r="R34" s="305"/>
      <c r="S34" s="305"/>
      <c r="T34" s="305"/>
      <c r="U34" s="305"/>
      <c r="V34" s="305"/>
      <c r="W34" s="305"/>
      <c r="X34" s="305"/>
      <c r="Y34" s="305"/>
      <c r="Z34" s="305"/>
      <c r="AA34" s="305"/>
      <c r="AB34" s="305"/>
      <c r="AC34" s="305"/>
      <c r="AD34" s="305"/>
      <c r="AE34" s="305"/>
      <c r="AF34" s="305"/>
      <c r="AG34" s="305"/>
      <c r="AH34" s="305"/>
      <c r="AI34" s="305"/>
      <c r="AJ34" s="305"/>
      <c r="AK34" s="305"/>
      <c r="AL34" s="305"/>
      <c r="AM34" s="305"/>
      <c r="AN34" s="305"/>
      <c r="AO34" s="305"/>
      <c r="AP34" s="305"/>
      <c r="AQ34" s="305"/>
      <c r="AR34" s="305"/>
      <c r="AS34" s="305"/>
      <c r="AT34" s="305"/>
      <c r="AU34" s="305"/>
      <c r="AV34" s="305"/>
      <c r="AW34" s="305"/>
      <c r="AX34" s="305"/>
      <c r="AY34" s="305"/>
      <c r="AZ34" s="305"/>
      <c r="BA34" s="305"/>
      <c r="BB34" s="305"/>
      <c r="BC34" s="305"/>
      <c r="BD34" s="305"/>
      <c r="BE34" s="305"/>
      <c r="BF34" s="305"/>
      <c r="BG34" s="305"/>
      <c r="BH34" s="305"/>
      <c r="BI34" s="165"/>
      <c r="BJ34" s="165"/>
      <c r="BK34" s="165"/>
      <c r="BL34" s="165"/>
      <c r="BM34" s="165"/>
      <c r="BN34" s="165"/>
      <c r="BO34" s="178"/>
      <c r="BP34" s="179"/>
      <c r="BQ34" s="179"/>
      <c r="BR34" s="179"/>
      <c r="BS34" s="179"/>
      <c r="BT34" s="179"/>
      <c r="BU34" s="179"/>
      <c r="BV34" s="179"/>
      <c r="BW34" s="179"/>
      <c r="BX34" s="179"/>
      <c r="BY34" s="179"/>
      <c r="BZ34" s="179"/>
      <c r="CA34" s="179"/>
      <c r="CB34" s="179"/>
      <c r="CC34" s="179"/>
      <c r="CD34" s="179"/>
      <c r="CE34" s="179"/>
      <c r="CF34" s="179"/>
      <c r="CG34" s="179"/>
      <c r="CH34" s="179"/>
      <c r="CI34" s="179"/>
      <c r="CJ34" s="179"/>
      <c r="CK34" s="179"/>
      <c r="CL34" s="179"/>
      <c r="CM34" s="179"/>
      <c r="CN34" s="179"/>
      <c r="CO34" s="179"/>
      <c r="CP34" s="179"/>
      <c r="CQ34" s="179"/>
      <c r="CR34" s="179"/>
      <c r="CS34" s="179"/>
      <c r="CT34" s="179"/>
      <c r="CU34" s="179"/>
      <c r="CV34" s="175"/>
    </row>
    <row r="35" spans="2:100" ht="21.75" customHeight="1">
      <c r="B35" s="174"/>
      <c r="C35" s="287" t="s">
        <v>1766</v>
      </c>
      <c r="D35" s="293"/>
      <c r="E35" s="293"/>
      <c r="F35" s="293"/>
      <c r="G35" s="293"/>
      <c r="H35" s="293"/>
      <c r="I35" s="293"/>
      <c r="J35" s="293"/>
      <c r="K35" s="293"/>
      <c r="L35" s="293"/>
      <c r="M35" s="293"/>
      <c r="N35" s="293"/>
      <c r="O35" s="293"/>
      <c r="P35" s="293"/>
      <c r="Q35" s="293"/>
      <c r="R35" s="293"/>
      <c r="S35" s="293"/>
      <c r="T35" s="293"/>
      <c r="U35" s="293"/>
      <c r="V35" s="293"/>
      <c r="W35" s="293"/>
      <c r="X35" s="293"/>
      <c r="Y35" s="293"/>
      <c r="Z35" s="293"/>
      <c r="AA35" s="293"/>
      <c r="AB35" s="293"/>
      <c r="AC35" s="293"/>
      <c r="AD35" s="293"/>
      <c r="AE35" s="293"/>
      <c r="AF35" s="293"/>
      <c r="AG35" s="293"/>
      <c r="AH35" s="293"/>
      <c r="AI35" s="293"/>
      <c r="AJ35" s="293"/>
      <c r="AK35" s="293"/>
      <c r="AL35" s="293"/>
      <c r="AM35" s="293"/>
      <c r="AN35" s="293"/>
      <c r="AO35" s="293"/>
      <c r="AP35" s="293"/>
      <c r="AQ35" s="293"/>
      <c r="AR35" s="293"/>
      <c r="AS35" s="293"/>
      <c r="AT35" s="293"/>
      <c r="AU35" s="293"/>
      <c r="AV35" s="293"/>
      <c r="AW35" s="293"/>
      <c r="AX35" s="293"/>
      <c r="AY35" s="293"/>
      <c r="AZ35" s="293"/>
      <c r="BA35" s="293"/>
      <c r="BB35" s="293"/>
      <c r="BC35" s="293"/>
      <c r="BD35" s="293"/>
      <c r="BE35" s="293"/>
      <c r="BF35" s="293"/>
      <c r="BG35" s="293"/>
      <c r="BH35" s="293"/>
      <c r="BI35" s="293"/>
      <c r="BJ35" s="293"/>
      <c r="BK35" s="293"/>
      <c r="BL35" s="293"/>
      <c r="BM35" s="293"/>
      <c r="BN35" s="293"/>
      <c r="BO35" s="187"/>
      <c r="BP35" s="187"/>
      <c r="BQ35" s="187"/>
      <c r="BR35" s="187"/>
      <c r="BS35" s="187"/>
      <c r="BT35" s="187"/>
      <c r="BU35" s="187"/>
      <c r="BV35" s="187"/>
      <c r="BW35" s="187"/>
      <c r="BX35" s="187"/>
      <c r="BY35" s="187"/>
      <c r="BZ35" s="187"/>
      <c r="CA35" s="187"/>
      <c r="CB35" s="187"/>
      <c r="CC35" s="187"/>
      <c r="CD35" s="187"/>
      <c r="CE35" s="187"/>
      <c r="CF35" s="187"/>
      <c r="CG35" s="187"/>
      <c r="CH35" s="187"/>
      <c r="CI35" s="187"/>
      <c r="CJ35" s="187"/>
      <c r="CK35" s="187"/>
      <c r="CL35" s="187"/>
      <c r="CM35" s="187"/>
      <c r="CN35" s="187"/>
      <c r="CO35" s="187"/>
      <c r="CP35" s="187"/>
      <c r="CQ35" s="187"/>
      <c r="CR35" s="187"/>
      <c r="CS35" s="187"/>
      <c r="CT35" s="187"/>
      <c r="CU35" s="187"/>
      <c r="CV35" s="175"/>
    </row>
    <row r="36" spans="2:100" ht="21.75" customHeight="1">
      <c r="B36" s="174"/>
      <c r="C36" s="187"/>
      <c r="D36" s="187"/>
      <c r="E36" s="187"/>
      <c r="F36" s="187"/>
      <c r="G36" s="187"/>
      <c r="H36" s="187"/>
      <c r="I36" s="187"/>
      <c r="J36" s="187"/>
      <c r="K36" s="187"/>
      <c r="L36" s="187"/>
      <c r="M36" s="187"/>
      <c r="N36" s="187"/>
      <c r="O36" s="187"/>
      <c r="P36" s="187"/>
      <c r="Q36" s="187"/>
      <c r="R36" s="187"/>
      <c r="S36" s="187"/>
      <c r="T36" s="187"/>
      <c r="U36" s="187"/>
      <c r="V36" s="187"/>
      <c r="W36" s="187"/>
      <c r="X36" s="187"/>
      <c r="Y36" s="187"/>
      <c r="Z36" s="187"/>
      <c r="AA36" s="187"/>
      <c r="AB36" s="187"/>
      <c r="AC36" s="187"/>
      <c r="AD36" s="187"/>
      <c r="AE36" s="187"/>
      <c r="AF36" s="187"/>
      <c r="AG36" s="187"/>
      <c r="AH36" s="187"/>
      <c r="AI36" s="187"/>
      <c r="AJ36" s="187"/>
      <c r="AK36" s="187"/>
      <c r="AL36" s="187"/>
      <c r="AM36" s="187"/>
      <c r="AN36" s="187"/>
      <c r="AO36" s="187"/>
      <c r="AP36" s="187"/>
      <c r="AQ36" s="187"/>
      <c r="AR36" s="187"/>
      <c r="AS36" s="187"/>
      <c r="AT36" s="187"/>
      <c r="AU36" s="187"/>
      <c r="AV36" s="187"/>
      <c r="AW36" s="187"/>
      <c r="AX36" s="187"/>
      <c r="AY36" s="187"/>
      <c r="AZ36" s="187"/>
      <c r="BA36" s="187"/>
      <c r="BB36" s="187"/>
      <c r="BC36" s="187"/>
      <c r="BD36" s="187"/>
      <c r="BE36" s="187"/>
      <c r="BF36" s="187"/>
      <c r="BG36" s="187"/>
      <c r="BH36" s="187"/>
      <c r="BI36" s="187"/>
      <c r="BJ36" s="187"/>
      <c r="BK36" s="187"/>
      <c r="BL36" s="187"/>
      <c r="BM36" s="187"/>
      <c r="BN36" s="187"/>
      <c r="BO36" s="187"/>
      <c r="BP36" s="187"/>
      <c r="BQ36" s="187"/>
      <c r="BR36" s="187"/>
      <c r="BS36" s="187"/>
      <c r="BT36" s="187"/>
      <c r="BU36" s="187"/>
      <c r="BV36" s="187"/>
      <c r="BW36" s="187"/>
      <c r="BX36" s="187"/>
      <c r="BY36" s="187"/>
      <c r="BZ36" s="187"/>
      <c r="CA36" s="187"/>
      <c r="CB36" s="187"/>
      <c r="CC36" s="187"/>
      <c r="CD36" s="187"/>
      <c r="CE36" s="187"/>
      <c r="CF36" s="187"/>
      <c r="CG36" s="187"/>
      <c r="CH36" s="187"/>
      <c r="CI36" s="187"/>
      <c r="CJ36" s="187"/>
      <c r="CK36" s="187"/>
      <c r="CL36" s="187"/>
      <c r="CM36" s="187"/>
      <c r="CN36" s="187"/>
      <c r="CO36" s="187"/>
      <c r="CP36" s="187"/>
      <c r="CQ36" s="187"/>
      <c r="CR36" s="187"/>
      <c r="CS36" s="187"/>
      <c r="CT36" s="187"/>
      <c r="CU36" s="187"/>
      <c r="CV36" s="175"/>
    </row>
    <row r="37" spans="2:100" ht="21.75" customHeight="1">
      <c r="B37" s="174"/>
      <c r="C37" s="304" t="s">
        <v>1743</v>
      </c>
      <c r="D37" s="305"/>
      <c r="E37" s="305"/>
      <c r="F37" s="305"/>
      <c r="G37" s="305"/>
      <c r="H37" s="305"/>
      <c r="I37" s="305"/>
      <c r="J37" s="305"/>
      <c r="K37" s="305"/>
      <c r="L37" s="305"/>
      <c r="M37" s="305"/>
      <c r="N37" s="305"/>
      <c r="O37" s="305"/>
      <c r="P37" s="305"/>
      <c r="Q37" s="305"/>
      <c r="R37" s="305"/>
      <c r="S37" s="305"/>
      <c r="T37" s="305"/>
      <c r="U37" s="305"/>
      <c r="V37" s="305"/>
      <c r="W37" s="305"/>
      <c r="X37" s="305"/>
      <c r="Y37" s="305"/>
      <c r="Z37" s="305"/>
      <c r="AA37" s="305"/>
      <c r="AB37" s="305"/>
      <c r="AC37" s="305"/>
      <c r="AD37" s="305"/>
      <c r="AE37" s="305"/>
      <c r="AF37" s="305"/>
      <c r="AG37" s="305"/>
      <c r="AH37" s="305"/>
      <c r="AI37" s="305"/>
      <c r="AJ37" s="305"/>
      <c r="AK37" s="305"/>
      <c r="AL37" s="305"/>
      <c r="AM37" s="305"/>
      <c r="AN37" s="305"/>
      <c r="AO37" s="305"/>
      <c r="AP37" s="305"/>
      <c r="AQ37" s="305"/>
      <c r="AR37" s="305"/>
      <c r="AS37" s="305"/>
      <c r="AT37" s="305"/>
      <c r="AU37" s="305"/>
      <c r="AV37" s="305"/>
      <c r="AW37" s="305"/>
      <c r="AX37" s="305"/>
      <c r="AY37" s="305"/>
      <c r="AZ37" s="305"/>
      <c r="BA37" s="305"/>
      <c r="BB37" s="305"/>
      <c r="BC37" s="305"/>
      <c r="BD37" s="305"/>
      <c r="BE37" s="305"/>
      <c r="BF37" s="305"/>
      <c r="BG37" s="305"/>
      <c r="BH37" s="305"/>
      <c r="BI37" s="165"/>
      <c r="BJ37" s="165"/>
      <c r="BK37" s="165"/>
      <c r="BL37" s="165"/>
      <c r="BM37" s="165"/>
      <c r="BN37" s="165"/>
      <c r="BO37" s="178"/>
      <c r="BP37" s="179"/>
      <c r="BQ37" s="179"/>
      <c r="BR37" s="179"/>
      <c r="BS37" s="179"/>
      <c r="BT37" s="179"/>
      <c r="BU37" s="179"/>
      <c r="BV37" s="179"/>
      <c r="BW37" s="179"/>
      <c r="BX37" s="179"/>
      <c r="BY37" s="179"/>
      <c r="BZ37" s="179"/>
      <c r="CA37" s="179"/>
      <c r="CB37" s="179"/>
      <c r="CC37" s="179"/>
      <c r="CD37" s="179"/>
      <c r="CE37" s="179"/>
      <c r="CF37" s="179"/>
      <c r="CG37" s="179"/>
      <c r="CH37" s="179"/>
      <c r="CI37" s="179"/>
      <c r="CJ37" s="179"/>
      <c r="CK37" s="179"/>
      <c r="CL37" s="179"/>
      <c r="CM37" s="179"/>
      <c r="CN37" s="179"/>
      <c r="CO37" s="179"/>
      <c r="CP37" s="179"/>
      <c r="CQ37" s="179"/>
      <c r="CR37" s="179"/>
      <c r="CS37" s="179"/>
      <c r="CT37" s="179"/>
      <c r="CU37" s="179"/>
      <c r="CV37" s="175"/>
    </row>
    <row r="38" spans="2:100" ht="21.75" customHeight="1">
      <c r="B38" s="174"/>
      <c r="C38" s="287" t="s">
        <v>1767</v>
      </c>
      <c r="D38" s="293"/>
      <c r="E38" s="293"/>
      <c r="F38" s="293"/>
      <c r="G38" s="293"/>
      <c r="H38" s="293"/>
      <c r="I38" s="293"/>
      <c r="J38" s="293"/>
      <c r="K38" s="293"/>
      <c r="L38" s="293"/>
      <c r="M38" s="293"/>
      <c r="N38" s="293"/>
      <c r="O38" s="293"/>
      <c r="P38" s="293"/>
      <c r="Q38" s="293"/>
      <c r="R38" s="293"/>
      <c r="S38" s="293"/>
      <c r="T38" s="293"/>
      <c r="U38" s="293"/>
      <c r="V38" s="293"/>
      <c r="W38" s="293"/>
      <c r="X38" s="293"/>
      <c r="Y38" s="293"/>
      <c r="Z38" s="293"/>
      <c r="AA38" s="293"/>
      <c r="AB38" s="293"/>
      <c r="AC38" s="293"/>
      <c r="AD38" s="293"/>
      <c r="AE38" s="293"/>
      <c r="AF38" s="293"/>
      <c r="AG38" s="293"/>
      <c r="AH38" s="293"/>
      <c r="AI38" s="293"/>
      <c r="AJ38" s="293"/>
      <c r="AK38" s="293"/>
      <c r="AL38" s="293"/>
      <c r="AM38" s="293"/>
      <c r="AN38" s="293"/>
      <c r="AO38" s="293"/>
      <c r="AP38" s="293"/>
      <c r="AQ38" s="293"/>
      <c r="AR38" s="293"/>
      <c r="AS38" s="293"/>
      <c r="AT38" s="293"/>
      <c r="AU38" s="293"/>
      <c r="AV38" s="293"/>
      <c r="AW38" s="293"/>
      <c r="AX38" s="293"/>
      <c r="AY38" s="293"/>
      <c r="AZ38" s="293"/>
      <c r="BA38" s="293"/>
      <c r="BB38" s="293"/>
      <c r="BC38" s="293"/>
      <c r="BD38" s="293"/>
      <c r="BE38" s="293"/>
      <c r="BF38" s="293"/>
      <c r="BG38" s="293"/>
      <c r="BH38" s="293"/>
      <c r="BI38" s="293"/>
      <c r="BJ38" s="293"/>
      <c r="BK38" s="293"/>
      <c r="BL38" s="293"/>
      <c r="BM38" s="293"/>
      <c r="BN38" s="293"/>
      <c r="BO38" s="187"/>
      <c r="BP38" s="187"/>
      <c r="BQ38" s="187"/>
      <c r="BR38" s="187"/>
      <c r="BS38" s="187"/>
      <c r="BT38" s="187"/>
      <c r="BU38" s="187"/>
      <c r="BV38" s="187"/>
      <c r="BW38" s="187"/>
      <c r="BX38" s="187"/>
      <c r="BY38" s="187"/>
      <c r="BZ38" s="187"/>
      <c r="CA38" s="187"/>
      <c r="CB38" s="187"/>
      <c r="CC38" s="187"/>
      <c r="CD38" s="187"/>
      <c r="CE38" s="187"/>
      <c r="CF38" s="187"/>
      <c r="CG38" s="187"/>
      <c r="CH38" s="187"/>
      <c r="CI38" s="187"/>
      <c r="CJ38" s="187"/>
      <c r="CK38" s="187"/>
      <c r="CL38" s="187"/>
      <c r="CM38" s="187"/>
      <c r="CN38" s="187"/>
      <c r="CO38" s="187"/>
      <c r="CP38" s="187"/>
      <c r="CQ38" s="187"/>
      <c r="CR38" s="187"/>
      <c r="CS38" s="187"/>
      <c r="CT38" s="187"/>
      <c r="CU38" s="187"/>
      <c r="CV38" s="175"/>
    </row>
    <row r="39" spans="2:100" ht="21.75" customHeight="1">
      <c r="B39" s="174"/>
      <c r="C39" s="187"/>
      <c r="D39" s="187"/>
      <c r="E39" s="187"/>
      <c r="F39" s="187"/>
      <c r="G39" s="187"/>
      <c r="H39" s="187"/>
      <c r="I39" s="187"/>
      <c r="J39" s="187"/>
      <c r="K39" s="187"/>
      <c r="L39" s="187"/>
      <c r="M39" s="187"/>
      <c r="N39" s="187"/>
      <c r="O39" s="187"/>
      <c r="P39" s="187"/>
      <c r="Q39" s="187"/>
      <c r="R39" s="187"/>
      <c r="S39" s="187"/>
      <c r="T39" s="187"/>
      <c r="U39" s="187"/>
      <c r="V39" s="187"/>
      <c r="W39" s="187"/>
      <c r="X39" s="187"/>
      <c r="Y39" s="187"/>
      <c r="Z39" s="187"/>
      <c r="AA39" s="187"/>
      <c r="AB39" s="187"/>
      <c r="AC39" s="187"/>
      <c r="AD39" s="187"/>
      <c r="AE39" s="187"/>
      <c r="AF39" s="187"/>
      <c r="AG39" s="187"/>
      <c r="AH39" s="187"/>
      <c r="AI39" s="187"/>
      <c r="AJ39" s="187"/>
      <c r="AK39" s="187"/>
      <c r="AL39" s="187"/>
      <c r="AM39" s="187"/>
      <c r="AN39" s="187"/>
      <c r="AO39" s="187"/>
      <c r="AP39" s="187"/>
      <c r="AQ39" s="187"/>
      <c r="AR39" s="187"/>
      <c r="AS39" s="187"/>
      <c r="AT39" s="187"/>
      <c r="AU39" s="187"/>
      <c r="AV39" s="187"/>
      <c r="AW39" s="187"/>
      <c r="AX39" s="187"/>
      <c r="AY39" s="187"/>
      <c r="AZ39" s="187"/>
      <c r="BA39" s="187"/>
      <c r="BB39" s="187"/>
      <c r="BC39" s="187"/>
      <c r="BD39" s="187"/>
      <c r="BE39" s="187"/>
      <c r="BF39" s="187"/>
      <c r="BG39" s="187"/>
      <c r="BH39" s="187"/>
      <c r="BI39" s="187"/>
      <c r="BJ39" s="187"/>
      <c r="BK39" s="187"/>
      <c r="BL39" s="187"/>
      <c r="BM39" s="187"/>
      <c r="BN39" s="187"/>
      <c r="BO39" s="187"/>
      <c r="BP39" s="187"/>
      <c r="BQ39" s="187"/>
      <c r="BR39" s="187"/>
      <c r="BS39" s="187"/>
      <c r="BT39" s="187"/>
      <c r="BU39" s="187"/>
      <c r="BV39" s="187"/>
      <c r="BW39" s="187"/>
      <c r="BX39" s="187"/>
      <c r="BY39" s="187"/>
      <c r="BZ39" s="187"/>
      <c r="CA39" s="187"/>
      <c r="CB39" s="187"/>
      <c r="CC39" s="187"/>
      <c r="CD39" s="187"/>
      <c r="CE39" s="187"/>
      <c r="CF39" s="187"/>
      <c r="CG39" s="187"/>
      <c r="CH39" s="187"/>
      <c r="CI39" s="187"/>
      <c r="CJ39" s="187"/>
      <c r="CK39" s="187"/>
      <c r="CL39" s="187"/>
      <c r="CM39" s="187"/>
      <c r="CN39" s="187"/>
      <c r="CO39" s="187"/>
      <c r="CP39" s="187"/>
      <c r="CQ39" s="187"/>
      <c r="CR39" s="187"/>
      <c r="CS39" s="187"/>
      <c r="CT39" s="187"/>
      <c r="CU39" s="187"/>
      <c r="CV39" s="175"/>
    </row>
    <row r="40" spans="2:100" ht="21.75" customHeight="1">
      <c r="B40" s="174"/>
      <c r="C40" s="304" t="s">
        <v>1744</v>
      </c>
      <c r="D40" s="305"/>
      <c r="E40" s="305"/>
      <c r="F40" s="305"/>
      <c r="G40" s="305"/>
      <c r="H40" s="305"/>
      <c r="I40" s="305"/>
      <c r="J40" s="305"/>
      <c r="K40" s="305"/>
      <c r="L40" s="305"/>
      <c r="M40" s="305"/>
      <c r="N40" s="305"/>
      <c r="O40" s="305"/>
      <c r="P40" s="305"/>
      <c r="Q40" s="305"/>
      <c r="R40" s="305"/>
      <c r="S40" s="305"/>
      <c r="T40" s="305"/>
      <c r="U40" s="305"/>
      <c r="V40" s="305"/>
      <c r="W40" s="305"/>
      <c r="X40" s="305"/>
      <c r="Y40" s="305"/>
      <c r="Z40" s="305"/>
      <c r="AA40" s="305"/>
      <c r="AB40" s="305"/>
      <c r="AC40" s="305"/>
      <c r="AD40" s="305"/>
      <c r="AE40" s="305"/>
      <c r="AF40" s="305"/>
      <c r="AG40" s="305"/>
      <c r="AH40" s="305"/>
      <c r="AI40" s="305"/>
      <c r="AJ40" s="305"/>
      <c r="AK40" s="305"/>
      <c r="AL40" s="305"/>
      <c r="AM40" s="305"/>
      <c r="AN40" s="305"/>
      <c r="AO40" s="305"/>
      <c r="AP40" s="305"/>
      <c r="AQ40" s="305"/>
      <c r="AR40" s="305"/>
      <c r="AS40" s="305"/>
      <c r="AT40" s="305"/>
      <c r="AU40" s="305"/>
      <c r="AV40" s="305"/>
      <c r="AW40" s="305"/>
      <c r="AX40" s="305"/>
      <c r="AY40" s="305"/>
      <c r="AZ40" s="305"/>
      <c r="BA40" s="305"/>
      <c r="BB40" s="305"/>
      <c r="BC40" s="305"/>
      <c r="BD40" s="305"/>
      <c r="BE40" s="305"/>
      <c r="BF40" s="305"/>
      <c r="BG40" s="305"/>
      <c r="BH40" s="305"/>
      <c r="BI40" s="165"/>
      <c r="BJ40" s="165"/>
      <c r="BK40" s="165"/>
      <c r="BL40" s="165"/>
      <c r="BM40" s="165"/>
      <c r="BN40" s="165"/>
      <c r="BO40" s="178"/>
      <c r="BP40" s="179"/>
      <c r="BQ40" s="179"/>
      <c r="BR40" s="179"/>
      <c r="BS40" s="179"/>
      <c r="BT40" s="179"/>
      <c r="BU40" s="179"/>
      <c r="BV40" s="179"/>
      <c r="BW40" s="179"/>
      <c r="BX40" s="179"/>
      <c r="BY40" s="179"/>
      <c r="BZ40" s="179"/>
      <c r="CA40" s="179"/>
      <c r="CB40" s="179"/>
      <c r="CC40" s="179"/>
      <c r="CD40" s="179"/>
      <c r="CE40" s="179"/>
      <c r="CF40" s="179"/>
      <c r="CG40" s="179"/>
      <c r="CH40" s="179"/>
      <c r="CI40" s="179"/>
      <c r="CJ40" s="179"/>
      <c r="CK40" s="179"/>
      <c r="CL40" s="179"/>
      <c r="CM40" s="179"/>
      <c r="CN40" s="179"/>
      <c r="CO40" s="179"/>
      <c r="CP40" s="179"/>
      <c r="CQ40" s="179"/>
      <c r="CR40" s="179"/>
      <c r="CS40" s="179"/>
      <c r="CT40" s="179"/>
      <c r="CU40" s="179"/>
      <c r="CV40" s="175"/>
    </row>
    <row r="41" spans="2:100" ht="21.75" customHeight="1">
      <c r="B41" s="174"/>
      <c r="C41" s="287" t="s">
        <v>1768</v>
      </c>
      <c r="D41" s="293"/>
      <c r="E41" s="293"/>
      <c r="F41" s="293"/>
      <c r="G41" s="293"/>
      <c r="H41" s="293"/>
      <c r="I41" s="293"/>
      <c r="J41" s="293"/>
      <c r="K41" s="293"/>
      <c r="L41" s="293"/>
      <c r="M41" s="293"/>
      <c r="N41" s="293"/>
      <c r="O41" s="293"/>
      <c r="P41" s="293"/>
      <c r="Q41" s="293"/>
      <c r="R41" s="293"/>
      <c r="S41" s="293"/>
      <c r="T41" s="293"/>
      <c r="U41" s="293"/>
      <c r="V41" s="293"/>
      <c r="W41" s="293"/>
      <c r="X41" s="293"/>
      <c r="Y41" s="293"/>
      <c r="Z41" s="293"/>
      <c r="AA41" s="293"/>
      <c r="AB41" s="293"/>
      <c r="AC41" s="293"/>
      <c r="AD41" s="293"/>
      <c r="AE41" s="293"/>
      <c r="AF41" s="293"/>
      <c r="AG41" s="293"/>
      <c r="AH41" s="293"/>
      <c r="AI41" s="293"/>
      <c r="AJ41" s="293"/>
      <c r="AK41" s="293"/>
      <c r="AL41" s="293"/>
      <c r="AM41" s="293"/>
      <c r="AN41" s="293"/>
      <c r="AO41" s="293"/>
      <c r="AP41" s="293"/>
      <c r="AQ41" s="293"/>
      <c r="AR41" s="293"/>
      <c r="AS41" s="293"/>
      <c r="AT41" s="293"/>
      <c r="AU41" s="293"/>
      <c r="AV41" s="293"/>
      <c r="AW41" s="293"/>
      <c r="AX41" s="293"/>
      <c r="AY41" s="293"/>
      <c r="AZ41" s="293"/>
      <c r="BA41" s="293"/>
      <c r="BB41" s="293"/>
      <c r="BC41" s="293"/>
      <c r="BD41" s="293"/>
      <c r="BE41" s="293"/>
      <c r="BF41" s="293"/>
      <c r="BG41" s="293"/>
      <c r="BH41" s="293"/>
      <c r="BI41" s="293"/>
      <c r="BJ41" s="293"/>
      <c r="BK41" s="293"/>
      <c r="BL41" s="293"/>
      <c r="BM41" s="293"/>
      <c r="BN41" s="293"/>
      <c r="BO41" s="187"/>
      <c r="BP41" s="187"/>
      <c r="BQ41" s="187"/>
      <c r="BR41" s="187"/>
      <c r="BS41" s="187"/>
      <c r="BT41" s="187"/>
      <c r="BU41" s="187"/>
      <c r="BV41" s="187"/>
      <c r="BW41" s="187"/>
      <c r="BX41" s="187"/>
      <c r="BY41" s="187"/>
      <c r="BZ41" s="187"/>
      <c r="CA41" s="187"/>
      <c r="CB41" s="187"/>
      <c r="CC41" s="187"/>
      <c r="CD41" s="187"/>
      <c r="CE41" s="187"/>
      <c r="CF41" s="187"/>
      <c r="CG41" s="187"/>
      <c r="CH41" s="187"/>
      <c r="CI41" s="187"/>
      <c r="CJ41" s="187"/>
      <c r="CK41" s="187"/>
      <c r="CL41" s="187"/>
      <c r="CM41" s="187"/>
      <c r="CN41" s="187"/>
      <c r="CO41" s="187"/>
      <c r="CP41" s="187"/>
      <c r="CQ41" s="187"/>
      <c r="CR41" s="187"/>
      <c r="CS41" s="187"/>
      <c r="CT41" s="187"/>
      <c r="CU41" s="187"/>
      <c r="CV41" s="175"/>
    </row>
    <row r="42" spans="2:100" ht="21.75" customHeight="1">
      <c r="B42" s="174"/>
      <c r="C42" s="187"/>
      <c r="D42" s="187"/>
      <c r="E42" s="187"/>
      <c r="F42" s="187"/>
      <c r="G42" s="187"/>
      <c r="H42" s="187"/>
      <c r="I42" s="187"/>
      <c r="J42" s="187"/>
      <c r="K42" s="187"/>
      <c r="L42" s="187"/>
      <c r="M42" s="187"/>
      <c r="N42" s="187"/>
      <c r="O42" s="187"/>
      <c r="P42" s="187"/>
      <c r="Q42" s="187"/>
      <c r="R42" s="187"/>
      <c r="S42" s="187"/>
      <c r="T42" s="187"/>
      <c r="U42" s="187"/>
      <c r="V42" s="187"/>
      <c r="W42" s="187"/>
      <c r="X42" s="187"/>
      <c r="Y42" s="187"/>
      <c r="Z42" s="187"/>
      <c r="AA42" s="187"/>
      <c r="AB42" s="187"/>
      <c r="AC42" s="187"/>
      <c r="AD42" s="187"/>
      <c r="AE42" s="187"/>
      <c r="AF42" s="187"/>
      <c r="AG42" s="187"/>
      <c r="AH42" s="187"/>
      <c r="AI42" s="187"/>
      <c r="AJ42" s="187"/>
      <c r="AK42" s="187"/>
      <c r="AL42" s="187"/>
      <c r="AM42" s="187"/>
      <c r="AN42" s="187"/>
      <c r="AO42" s="187"/>
      <c r="AP42" s="187"/>
      <c r="AQ42" s="187"/>
      <c r="AR42" s="187"/>
      <c r="AS42" s="187"/>
      <c r="AT42" s="187"/>
      <c r="AU42" s="187"/>
      <c r="AV42" s="187"/>
      <c r="AW42" s="187"/>
      <c r="AX42" s="187"/>
      <c r="AY42" s="187"/>
      <c r="AZ42" s="187"/>
      <c r="BA42" s="187"/>
      <c r="BB42" s="187"/>
      <c r="BC42" s="187"/>
      <c r="BD42" s="187"/>
      <c r="BE42" s="187"/>
      <c r="BF42" s="187"/>
      <c r="BG42" s="187"/>
      <c r="BH42" s="187"/>
      <c r="BI42" s="187"/>
      <c r="BJ42" s="187"/>
      <c r="BK42" s="187"/>
      <c r="BL42" s="187"/>
      <c r="BM42" s="187"/>
      <c r="BN42" s="187"/>
      <c r="BO42" s="187"/>
      <c r="BP42" s="187"/>
      <c r="BQ42" s="187"/>
      <c r="BR42" s="187"/>
      <c r="BS42" s="187"/>
      <c r="BT42" s="187"/>
      <c r="BU42" s="187"/>
      <c r="BV42" s="187"/>
      <c r="BW42" s="187"/>
      <c r="BX42" s="187"/>
      <c r="BY42" s="187"/>
      <c r="BZ42" s="187"/>
      <c r="CA42" s="187"/>
      <c r="CB42" s="187"/>
      <c r="CC42" s="187"/>
      <c r="CD42" s="187"/>
      <c r="CE42" s="187"/>
      <c r="CF42" s="187"/>
      <c r="CG42" s="187"/>
      <c r="CH42" s="187"/>
      <c r="CI42" s="187"/>
      <c r="CJ42" s="187"/>
      <c r="CK42" s="187"/>
      <c r="CL42" s="187"/>
      <c r="CM42" s="187"/>
      <c r="CN42" s="187"/>
      <c r="CO42" s="187"/>
      <c r="CP42" s="187"/>
      <c r="CQ42" s="187"/>
      <c r="CR42" s="187"/>
      <c r="CS42" s="187"/>
      <c r="CT42" s="187"/>
      <c r="CU42" s="187"/>
      <c r="CV42" s="175"/>
    </row>
    <row r="43" spans="2:100" ht="21.75" customHeight="1">
      <c r="B43" s="174"/>
      <c r="C43" s="172"/>
      <c r="D43" s="172"/>
      <c r="E43" s="172"/>
      <c r="F43" s="172"/>
      <c r="G43" s="172"/>
      <c r="H43" s="172"/>
      <c r="I43" s="172"/>
      <c r="J43" s="172"/>
      <c r="K43" s="172"/>
      <c r="L43" s="172"/>
      <c r="M43" s="172"/>
      <c r="N43" s="172"/>
      <c r="O43" s="172"/>
      <c r="P43" s="172"/>
      <c r="Q43" s="172"/>
      <c r="R43" s="172"/>
      <c r="S43" s="172"/>
      <c r="T43" s="172"/>
      <c r="U43" s="172"/>
      <c r="V43" s="172"/>
      <c r="W43" s="172"/>
      <c r="X43" s="172"/>
      <c r="Y43" s="172"/>
      <c r="Z43" s="172"/>
      <c r="AA43" s="172"/>
      <c r="AB43" s="172"/>
      <c r="AC43" s="172"/>
      <c r="AD43" s="172"/>
      <c r="AE43" s="172"/>
      <c r="AF43" s="172"/>
      <c r="AG43" s="172"/>
      <c r="AH43" s="172"/>
      <c r="AI43" s="172"/>
      <c r="AJ43" s="172"/>
      <c r="AK43" s="172"/>
      <c r="AL43" s="172"/>
      <c r="AM43" s="172"/>
      <c r="AN43" s="172"/>
      <c r="AO43" s="172"/>
      <c r="AP43" s="172"/>
      <c r="AQ43" s="172"/>
      <c r="AR43" s="172"/>
      <c r="AS43" s="172"/>
      <c r="AT43" s="172"/>
      <c r="AU43" s="172"/>
      <c r="AV43" s="172"/>
      <c r="AW43" s="172"/>
      <c r="AX43" s="172"/>
      <c r="AY43" s="172"/>
      <c r="AZ43" s="172"/>
      <c r="BA43" s="172"/>
      <c r="BB43" s="172"/>
      <c r="BC43" s="172"/>
      <c r="BD43" s="172"/>
      <c r="BE43" s="172"/>
      <c r="BF43" s="172"/>
      <c r="BG43" s="172"/>
      <c r="BH43" s="172"/>
      <c r="BI43" s="172"/>
      <c r="BJ43" s="172"/>
      <c r="BK43" s="172"/>
      <c r="BL43" s="172"/>
      <c r="BM43" s="172"/>
      <c r="BN43" s="172"/>
      <c r="BO43" s="172"/>
      <c r="BP43" s="172"/>
      <c r="BQ43" s="172"/>
      <c r="BR43" s="172"/>
      <c r="BS43" s="172"/>
      <c r="BT43" s="172"/>
      <c r="BU43" s="172"/>
      <c r="BV43" s="172"/>
      <c r="BW43" s="172"/>
      <c r="BX43" s="172"/>
      <c r="BY43" s="172"/>
      <c r="BZ43" s="172"/>
      <c r="CA43" s="172"/>
      <c r="CB43" s="172"/>
      <c r="CC43" s="172"/>
      <c r="CD43" s="172"/>
      <c r="CE43" s="172"/>
      <c r="CF43" s="172"/>
      <c r="CG43" s="172"/>
      <c r="CH43" s="172"/>
      <c r="CI43" s="172"/>
      <c r="CJ43" s="172"/>
      <c r="CK43" s="172"/>
      <c r="CL43" s="172"/>
      <c r="CM43" s="172"/>
      <c r="CN43" s="172"/>
      <c r="CO43" s="172"/>
      <c r="CP43" s="172"/>
      <c r="CQ43" s="172"/>
      <c r="CR43" s="172"/>
      <c r="CS43" s="172"/>
      <c r="CT43" s="172"/>
      <c r="CU43" s="172"/>
      <c r="CV43" s="175"/>
    </row>
    <row r="44" spans="2:100" ht="21.75" customHeight="1">
      <c r="B44" s="174"/>
      <c r="C44" s="290" t="s">
        <v>1736</v>
      </c>
      <c r="D44" s="290"/>
      <c r="E44" s="290"/>
      <c r="F44" s="290"/>
      <c r="G44" s="290"/>
      <c r="H44" s="290"/>
      <c r="I44" s="290"/>
      <c r="J44" s="290"/>
      <c r="K44" s="290"/>
      <c r="L44" s="290"/>
      <c r="M44" s="290"/>
      <c r="N44" s="290"/>
      <c r="O44" s="290"/>
      <c r="P44" s="290"/>
      <c r="Q44" s="290"/>
      <c r="R44" s="290"/>
      <c r="S44" s="291" t="s">
        <v>1762</v>
      </c>
      <c r="T44" s="291"/>
      <c r="U44" s="291"/>
      <c r="V44" s="291"/>
      <c r="W44" s="291"/>
      <c r="X44" s="291"/>
      <c r="Y44" s="291"/>
      <c r="Z44" s="291"/>
      <c r="AA44" s="291"/>
      <c r="AB44" s="291"/>
      <c r="AC44" s="291"/>
      <c r="AD44" s="291"/>
      <c r="AE44" s="291"/>
      <c r="AF44" s="291"/>
      <c r="AG44" s="291"/>
      <c r="AH44" s="291"/>
      <c r="AI44" s="292" t="s">
        <v>1737</v>
      </c>
      <c r="AJ44" s="292"/>
      <c r="AK44" s="292"/>
      <c r="AL44" s="292"/>
      <c r="AM44" s="292"/>
      <c r="AN44" s="292"/>
      <c r="AO44" s="292"/>
      <c r="AP44" s="292"/>
      <c r="AQ44" s="292"/>
      <c r="AR44" s="292"/>
      <c r="AS44" s="292"/>
      <c r="AT44" s="292"/>
      <c r="AU44" s="292"/>
      <c r="AV44" s="292"/>
      <c r="AW44" s="292"/>
      <c r="AX44" s="292"/>
      <c r="AY44" s="291" t="s">
        <v>753</v>
      </c>
      <c r="AZ44" s="291"/>
      <c r="BA44" s="291"/>
      <c r="BB44" s="291"/>
      <c r="BC44" s="291"/>
      <c r="BD44" s="291"/>
      <c r="BE44" s="291"/>
      <c r="BF44" s="291"/>
      <c r="BG44" s="291"/>
      <c r="BH44" s="291"/>
      <c r="BI44" s="291"/>
      <c r="BJ44" s="291"/>
      <c r="BK44" s="291"/>
      <c r="BL44" s="291"/>
      <c r="BM44" s="291"/>
      <c r="BN44" s="291"/>
      <c r="BO44" s="292" t="s">
        <v>1738</v>
      </c>
      <c r="BP44" s="292"/>
      <c r="BQ44" s="292"/>
      <c r="BR44" s="292"/>
      <c r="BS44" s="292"/>
      <c r="BT44" s="292"/>
      <c r="BU44" s="292"/>
      <c r="BV44" s="292"/>
      <c r="BW44" s="292"/>
      <c r="BX44" s="292"/>
      <c r="BY44" s="292"/>
      <c r="BZ44" s="292"/>
      <c r="CA44" s="292"/>
      <c r="CB44" s="292"/>
      <c r="CC44" s="292"/>
      <c r="CD44" s="292"/>
      <c r="CE44" s="291" t="s">
        <v>753</v>
      </c>
      <c r="CF44" s="291"/>
      <c r="CG44" s="291"/>
      <c r="CH44" s="291"/>
      <c r="CI44" s="291"/>
      <c r="CJ44" s="291"/>
      <c r="CK44" s="291"/>
      <c r="CL44" s="291"/>
      <c r="CM44" s="291"/>
      <c r="CN44" s="291"/>
      <c r="CO44" s="291"/>
      <c r="CP44" s="291"/>
      <c r="CQ44" s="291"/>
      <c r="CR44" s="291"/>
      <c r="CS44" s="291"/>
      <c r="CT44" s="291"/>
      <c r="CU44" s="172"/>
      <c r="CV44" s="175"/>
    </row>
    <row r="45" spans="2:100" ht="21.75" customHeight="1">
      <c r="B45" s="174"/>
      <c r="C45" s="172"/>
      <c r="D45" s="172"/>
      <c r="E45" s="172"/>
      <c r="F45" s="172"/>
      <c r="G45" s="172"/>
      <c r="H45" s="172"/>
      <c r="I45" s="172"/>
      <c r="J45" s="172"/>
      <c r="K45" s="172"/>
      <c r="L45" s="172"/>
      <c r="M45" s="172"/>
      <c r="N45" s="172"/>
      <c r="O45" s="172"/>
      <c r="P45" s="172"/>
      <c r="Q45" s="172"/>
      <c r="R45" s="172"/>
      <c r="S45" s="172"/>
      <c r="T45" s="172"/>
      <c r="U45" s="172"/>
      <c r="V45" s="172"/>
      <c r="W45" s="172"/>
      <c r="X45" s="172"/>
      <c r="Y45" s="172"/>
      <c r="Z45" s="172"/>
      <c r="AA45" s="172"/>
      <c r="AB45" s="172"/>
      <c r="AC45" s="172"/>
      <c r="AD45" s="172"/>
      <c r="AE45" s="172"/>
      <c r="AF45" s="172"/>
      <c r="AG45" s="172"/>
      <c r="AH45" s="172"/>
      <c r="AI45" s="172"/>
      <c r="AJ45" s="172"/>
      <c r="AK45" s="172"/>
      <c r="AL45" s="172"/>
      <c r="AM45" s="172"/>
      <c r="AN45" s="172"/>
      <c r="AO45" s="172"/>
      <c r="AP45" s="172"/>
      <c r="AQ45" s="172"/>
      <c r="AR45" s="172"/>
      <c r="AS45" s="172"/>
      <c r="AT45" s="172"/>
      <c r="AU45" s="172"/>
      <c r="AV45" s="172"/>
      <c r="AW45" s="172"/>
      <c r="AX45" s="172"/>
      <c r="AY45" s="172"/>
      <c r="AZ45" s="172"/>
      <c r="BA45" s="172"/>
      <c r="BB45" s="172"/>
      <c r="BC45" s="172"/>
      <c r="BD45" s="172"/>
      <c r="BE45" s="172"/>
      <c r="BF45" s="172"/>
      <c r="BG45" s="172"/>
      <c r="BH45" s="172"/>
      <c r="BI45" s="172"/>
      <c r="BJ45" s="172"/>
      <c r="BK45" s="172"/>
      <c r="BL45" s="172"/>
      <c r="BM45" s="172"/>
      <c r="BN45" s="172"/>
      <c r="BO45" s="172"/>
      <c r="BP45" s="172"/>
      <c r="BQ45" s="172"/>
      <c r="BR45" s="172"/>
      <c r="BS45" s="172"/>
      <c r="BT45" s="172"/>
      <c r="BU45" s="172"/>
      <c r="BV45" s="172"/>
      <c r="BW45" s="172"/>
      <c r="BX45" s="172"/>
      <c r="BY45" s="172"/>
      <c r="BZ45" s="172"/>
      <c r="CA45" s="172"/>
      <c r="CB45" s="172"/>
      <c r="CC45" s="172"/>
      <c r="CD45" s="172"/>
      <c r="CE45" s="172"/>
      <c r="CF45" s="172"/>
      <c r="CG45" s="172"/>
      <c r="CH45" s="172"/>
      <c r="CI45" s="172"/>
      <c r="CJ45" s="172"/>
      <c r="CK45" s="172"/>
      <c r="CL45" s="172"/>
      <c r="CM45" s="172"/>
      <c r="CN45" s="172"/>
      <c r="CO45" s="172"/>
      <c r="CP45" s="172"/>
      <c r="CQ45" s="172"/>
      <c r="CR45" s="172"/>
      <c r="CS45" s="172"/>
      <c r="CT45" s="172"/>
      <c r="CU45" s="172"/>
      <c r="CV45" s="175"/>
    </row>
    <row r="46" spans="2:100" ht="21.75" customHeight="1">
      <c r="B46" s="174"/>
      <c r="C46" s="304" t="s">
        <v>1745</v>
      </c>
      <c r="D46" s="305"/>
      <c r="E46" s="305"/>
      <c r="F46" s="305"/>
      <c r="G46" s="305"/>
      <c r="H46" s="305"/>
      <c r="I46" s="305"/>
      <c r="J46" s="305"/>
      <c r="K46" s="305"/>
      <c r="L46" s="305"/>
      <c r="M46" s="305"/>
      <c r="N46" s="305"/>
      <c r="O46" s="305"/>
      <c r="P46" s="305"/>
      <c r="Q46" s="305"/>
      <c r="R46" s="305"/>
      <c r="S46" s="305"/>
      <c r="T46" s="305"/>
      <c r="U46" s="305"/>
      <c r="V46" s="305"/>
      <c r="W46" s="305"/>
      <c r="X46" s="305"/>
      <c r="Y46" s="305"/>
      <c r="Z46" s="305"/>
      <c r="AA46" s="305"/>
      <c r="AB46" s="305"/>
      <c r="AC46" s="305"/>
      <c r="AD46" s="305"/>
      <c r="AE46" s="305"/>
      <c r="AF46" s="305"/>
      <c r="AG46" s="305"/>
      <c r="AH46" s="305"/>
      <c r="AI46" s="305"/>
      <c r="AJ46" s="305"/>
      <c r="AK46" s="305"/>
      <c r="AL46" s="305"/>
      <c r="AM46" s="305"/>
      <c r="AN46" s="305"/>
      <c r="AO46" s="305"/>
      <c r="AP46" s="305"/>
      <c r="AQ46" s="305"/>
      <c r="AR46" s="305"/>
      <c r="AS46" s="305"/>
      <c r="AT46" s="305"/>
      <c r="AU46" s="305"/>
      <c r="AV46" s="305"/>
      <c r="AW46" s="305"/>
      <c r="AX46" s="305"/>
      <c r="AY46" s="305"/>
      <c r="AZ46" s="305"/>
      <c r="BA46" s="305"/>
      <c r="BB46" s="305"/>
      <c r="BC46" s="305"/>
      <c r="BD46" s="305"/>
      <c r="BE46" s="305"/>
      <c r="BF46" s="305"/>
      <c r="BG46" s="305"/>
      <c r="BH46" s="305"/>
      <c r="BI46" s="165"/>
      <c r="BJ46" s="165"/>
      <c r="BK46" s="165"/>
      <c r="BL46" s="165"/>
      <c r="BM46" s="165"/>
      <c r="BN46" s="165"/>
      <c r="BO46" s="178"/>
      <c r="BP46" s="179"/>
      <c r="BQ46" s="179"/>
      <c r="BR46" s="179"/>
      <c r="BS46" s="179"/>
      <c r="BT46" s="179"/>
      <c r="BU46" s="179"/>
      <c r="BV46" s="179"/>
      <c r="BW46" s="179"/>
      <c r="BX46" s="179"/>
      <c r="BY46" s="179"/>
      <c r="BZ46" s="179"/>
      <c r="CA46" s="179"/>
      <c r="CB46" s="179"/>
      <c r="CC46" s="179"/>
      <c r="CD46" s="179"/>
      <c r="CE46" s="179"/>
      <c r="CF46" s="179"/>
      <c r="CG46" s="179"/>
      <c r="CH46" s="179"/>
      <c r="CI46" s="179"/>
      <c r="CJ46" s="179"/>
      <c r="CK46" s="179"/>
      <c r="CL46" s="179"/>
      <c r="CM46" s="179"/>
      <c r="CN46" s="179"/>
      <c r="CO46" s="179"/>
      <c r="CP46" s="179"/>
      <c r="CQ46" s="179"/>
      <c r="CR46" s="179"/>
      <c r="CS46" s="179"/>
      <c r="CT46" s="179"/>
      <c r="CU46" s="179"/>
      <c r="CV46" s="175"/>
    </row>
    <row r="47" spans="2:100" ht="21.75" customHeight="1">
      <c r="B47" s="174"/>
      <c r="C47" s="287" t="s">
        <v>1772</v>
      </c>
      <c r="D47" s="293"/>
      <c r="E47" s="293"/>
      <c r="F47" s="293"/>
      <c r="G47" s="293"/>
      <c r="H47" s="293"/>
      <c r="I47" s="293"/>
      <c r="J47" s="293"/>
      <c r="K47" s="293"/>
      <c r="L47" s="293"/>
      <c r="M47" s="293"/>
      <c r="N47" s="293"/>
      <c r="O47" s="293"/>
      <c r="P47" s="293"/>
      <c r="Q47" s="293"/>
      <c r="R47" s="293"/>
      <c r="S47" s="293"/>
      <c r="T47" s="293"/>
      <c r="U47" s="293"/>
      <c r="V47" s="293"/>
      <c r="W47" s="293"/>
      <c r="X47" s="293"/>
      <c r="Y47" s="293"/>
      <c r="Z47" s="293"/>
      <c r="AA47" s="293"/>
      <c r="AB47" s="293"/>
      <c r="AC47" s="293"/>
      <c r="AD47" s="293"/>
      <c r="AE47" s="293"/>
      <c r="AF47" s="293"/>
      <c r="AG47" s="293"/>
      <c r="AH47" s="293"/>
      <c r="AI47" s="293"/>
      <c r="AJ47" s="293"/>
      <c r="AK47" s="293"/>
      <c r="AL47" s="293"/>
      <c r="AM47" s="293"/>
      <c r="AN47" s="293"/>
      <c r="AO47" s="293"/>
      <c r="AP47" s="293"/>
      <c r="AQ47" s="293"/>
      <c r="AR47" s="293"/>
      <c r="AS47" s="293"/>
      <c r="AT47" s="293"/>
      <c r="AU47" s="293"/>
      <c r="AV47" s="293"/>
      <c r="AW47" s="293"/>
      <c r="AX47" s="293"/>
      <c r="AY47" s="293"/>
      <c r="AZ47" s="293"/>
      <c r="BA47" s="293"/>
      <c r="BB47" s="293"/>
      <c r="BC47" s="293"/>
      <c r="BD47" s="293"/>
      <c r="BE47" s="293"/>
      <c r="BF47" s="293"/>
      <c r="BG47" s="293"/>
      <c r="BH47" s="293"/>
      <c r="BI47" s="293"/>
      <c r="BJ47" s="293"/>
      <c r="BK47" s="293"/>
      <c r="BL47" s="293"/>
      <c r="BM47" s="293"/>
      <c r="BN47" s="293"/>
      <c r="BO47" s="187"/>
      <c r="BP47" s="187"/>
      <c r="BQ47" s="187"/>
      <c r="BR47" s="187"/>
      <c r="BS47" s="187"/>
      <c r="BT47" s="187"/>
      <c r="BU47" s="187"/>
      <c r="BV47" s="187"/>
      <c r="BW47" s="187"/>
      <c r="BX47" s="187"/>
      <c r="BY47" s="187"/>
      <c r="BZ47" s="187"/>
      <c r="CA47" s="187"/>
      <c r="CB47" s="187"/>
      <c r="CC47" s="187"/>
      <c r="CD47" s="187"/>
      <c r="CE47" s="187"/>
      <c r="CF47" s="187"/>
      <c r="CG47" s="187"/>
      <c r="CH47" s="187"/>
      <c r="CI47" s="187"/>
      <c r="CJ47" s="187"/>
      <c r="CK47" s="187"/>
      <c r="CL47" s="187"/>
      <c r="CM47" s="187"/>
      <c r="CN47" s="187"/>
      <c r="CO47" s="187"/>
      <c r="CP47" s="187"/>
      <c r="CQ47" s="187"/>
      <c r="CR47" s="187"/>
      <c r="CS47" s="187"/>
      <c r="CT47" s="187"/>
      <c r="CU47" s="187"/>
      <c r="CV47" s="175"/>
    </row>
    <row r="48" spans="2:100" ht="21.75" customHeight="1">
      <c r="B48" s="174"/>
      <c r="C48" s="187"/>
      <c r="D48" s="187"/>
      <c r="E48" s="187"/>
      <c r="F48" s="187"/>
      <c r="G48" s="187"/>
      <c r="H48" s="187"/>
      <c r="I48" s="187"/>
      <c r="J48" s="187"/>
      <c r="K48" s="187"/>
      <c r="L48" s="187"/>
      <c r="M48" s="187"/>
      <c r="N48" s="187"/>
      <c r="O48" s="187"/>
      <c r="P48" s="187"/>
      <c r="Q48" s="187"/>
      <c r="R48" s="187"/>
      <c r="S48" s="187"/>
      <c r="T48" s="187"/>
      <c r="U48" s="187"/>
      <c r="V48" s="187"/>
      <c r="W48" s="187"/>
      <c r="X48" s="187"/>
      <c r="Y48" s="187"/>
      <c r="Z48" s="187"/>
      <c r="AA48" s="187"/>
      <c r="AB48" s="187"/>
      <c r="AC48" s="187"/>
      <c r="AD48" s="187"/>
      <c r="AE48" s="187"/>
      <c r="AF48" s="187"/>
      <c r="AG48" s="187"/>
      <c r="AH48" s="187"/>
      <c r="AI48" s="187"/>
      <c r="AJ48" s="187"/>
      <c r="AK48" s="187"/>
      <c r="AL48" s="187"/>
      <c r="AM48" s="187"/>
      <c r="AN48" s="187"/>
      <c r="AO48" s="187"/>
      <c r="AP48" s="187"/>
      <c r="AQ48" s="187"/>
      <c r="AR48" s="187"/>
      <c r="AS48" s="187"/>
      <c r="AT48" s="187"/>
      <c r="AU48" s="187"/>
      <c r="AV48" s="187"/>
      <c r="AW48" s="187"/>
      <c r="AX48" s="187"/>
      <c r="AY48" s="187"/>
      <c r="AZ48" s="187"/>
      <c r="BA48" s="187"/>
      <c r="BB48" s="187"/>
      <c r="BC48" s="187"/>
      <c r="BD48" s="187"/>
      <c r="BE48" s="187"/>
      <c r="BF48" s="187"/>
      <c r="BG48" s="187"/>
      <c r="BH48" s="187"/>
      <c r="BI48" s="187"/>
      <c r="BJ48" s="187"/>
      <c r="BK48" s="187"/>
      <c r="BL48" s="187"/>
      <c r="BM48" s="187"/>
      <c r="BN48" s="187"/>
      <c r="BO48" s="187"/>
      <c r="BP48" s="187"/>
      <c r="BQ48" s="187"/>
      <c r="BR48" s="187"/>
      <c r="BS48" s="187"/>
      <c r="BT48" s="187"/>
      <c r="BU48" s="187"/>
      <c r="BV48" s="187"/>
      <c r="BW48" s="187"/>
      <c r="BX48" s="187"/>
      <c r="BY48" s="187"/>
      <c r="BZ48" s="187"/>
      <c r="CA48" s="187"/>
      <c r="CB48" s="187"/>
      <c r="CC48" s="187"/>
      <c r="CD48" s="187"/>
      <c r="CE48" s="187"/>
      <c r="CF48" s="187"/>
      <c r="CG48" s="187"/>
      <c r="CH48" s="187"/>
      <c r="CI48" s="187"/>
      <c r="CJ48" s="187"/>
      <c r="CK48" s="187"/>
      <c r="CL48" s="187"/>
      <c r="CM48" s="187"/>
      <c r="CN48" s="187"/>
      <c r="CO48" s="187"/>
      <c r="CP48" s="187"/>
      <c r="CQ48" s="187"/>
      <c r="CR48" s="187"/>
      <c r="CS48" s="187"/>
      <c r="CT48" s="187"/>
      <c r="CU48" s="187"/>
      <c r="CV48" s="175"/>
    </row>
    <row r="49" spans="2:100" ht="21.75" customHeight="1">
      <c r="B49" s="174"/>
      <c r="C49" s="187"/>
      <c r="D49" s="187"/>
      <c r="E49" s="187"/>
      <c r="F49" s="187"/>
      <c r="G49" s="187"/>
      <c r="H49" s="187"/>
      <c r="I49" s="187"/>
      <c r="J49" s="187"/>
      <c r="K49" s="187"/>
      <c r="L49" s="187"/>
      <c r="M49" s="187"/>
      <c r="N49" s="187"/>
      <c r="O49" s="187"/>
      <c r="P49" s="187"/>
      <c r="Q49" s="187"/>
      <c r="R49" s="187"/>
      <c r="S49" s="187"/>
      <c r="T49" s="187"/>
      <c r="U49" s="187"/>
      <c r="V49" s="187"/>
      <c r="W49" s="187"/>
      <c r="X49" s="187"/>
      <c r="Y49" s="187"/>
      <c r="Z49" s="187"/>
      <c r="AA49" s="187"/>
      <c r="AB49" s="187"/>
      <c r="AC49" s="187"/>
      <c r="AD49" s="187"/>
      <c r="AE49" s="187"/>
      <c r="AF49" s="187"/>
      <c r="AG49" s="187"/>
      <c r="AH49" s="187"/>
      <c r="AI49" s="187"/>
      <c r="AJ49" s="187"/>
      <c r="AK49" s="187"/>
      <c r="AL49" s="187"/>
      <c r="AM49" s="187"/>
      <c r="AN49" s="187"/>
      <c r="AO49" s="187"/>
      <c r="AP49" s="187"/>
      <c r="AQ49" s="187"/>
      <c r="AR49" s="187"/>
      <c r="AS49" s="187"/>
      <c r="AT49" s="187"/>
      <c r="AU49" s="187"/>
      <c r="AV49" s="187"/>
      <c r="AW49" s="187"/>
      <c r="AX49" s="187"/>
      <c r="AY49" s="187"/>
      <c r="AZ49" s="187"/>
      <c r="BA49" s="187"/>
      <c r="BB49" s="187"/>
      <c r="BC49" s="187"/>
      <c r="BD49" s="187"/>
      <c r="BE49" s="187"/>
      <c r="BF49" s="187"/>
      <c r="BG49" s="187"/>
      <c r="BH49" s="187"/>
      <c r="BI49" s="187"/>
      <c r="BJ49" s="187"/>
      <c r="BK49" s="187"/>
      <c r="BL49" s="187"/>
      <c r="BM49" s="187"/>
      <c r="BN49" s="187"/>
      <c r="BO49" s="187"/>
      <c r="BP49" s="187"/>
      <c r="BQ49" s="187"/>
      <c r="BR49" s="187"/>
      <c r="BS49" s="187"/>
      <c r="BT49" s="187"/>
      <c r="BU49" s="187"/>
      <c r="BV49" s="187"/>
      <c r="BW49" s="187"/>
      <c r="BX49" s="187"/>
      <c r="BY49" s="187"/>
      <c r="BZ49" s="187"/>
      <c r="CA49" s="187"/>
      <c r="CB49" s="187"/>
      <c r="CC49" s="187"/>
      <c r="CD49" s="187"/>
      <c r="CE49" s="187"/>
      <c r="CF49" s="187"/>
      <c r="CG49" s="187"/>
      <c r="CH49" s="187"/>
      <c r="CI49" s="187"/>
      <c r="CJ49" s="187"/>
      <c r="CK49" s="187"/>
      <c r="CL49" s="187"/>
      <c r="CM49" s="187"/>
      <c r="CN49" s="187"/>
      <c r="CO49" s="187"/>
      <c r="CP49" s="187"/>
      <c r="CQ49" s="187"/>
      <c r="CR49" s="187"/>
      <c r="CS49" s="187"/>
      <c r="CT49" s="187"/>
      <c r="CU49" s="187"/>
      <c r="CV49" s="175"/>
    </row>
    <row r="50" spans="2:100" ht="21.75" customHeight="1">
      <c r="B50" s="174"/>
      <c r="C50" s="165"/>
      <c r="D50" s="165"/>
      <c r="E50" s="165"/>
      <c r="F50" s="165"/>
      <c r="G50" s="165"/>
      <c r="H50" s="165"/>
      <c r="I50" s="165"/>
      <c r="J50" s="165"/>
      <c r="K50" s="165"/>
      <c r="L50" s="165"/>
      <c r="M50" s="165"/>
      <c r="N50" s="165"/>
      <c r="O50" s="165"/>
      <c r="P50" s="165"/>
      <c r="Q50" s="165"/>
      <c r="R50" s="165"/>
      <c r="S50" s="165"/>
      <c r="T50" s="165"/>
      <c r="U50" s="165"/>
      <c r="V50" s="165"/>
      <c r="W50" s="165"/>
      <c r="X50" s="165"/>
      <c r="Y50" s="165"/>
      <c r="Z50" s="165"/>
      <c r="AA50" s="165"/>
      <c r="AB50" s="165"/>
      <c r="AC50" s="165"/>
      <c r="AD50" s="165"/>
      <c r="AE50" s="165"/>
      <c r="AF50" s="165"/>
      <c r="AG50" s="165"/>
      <c r="AH50" s="165"/>
      <c r="AI50" s="165"/>
      <c r="AJ50" s="165"/>
      <c r="AK50" s="165"/>
      <c r="AL50" s="165"/>
      <c r="AM50" s="165"/>
      <c r="AN50" s="165"/>
      <c r="AO50" s="165"/>
      <c r="AP50" s="165"/>
      <c r="AQ50" s="165"/>
      <c r="AR50" s="165"/>
      <c r="AS50" s="165"/>
      <c r="AT50" s="165"/>
      <c r="AU50" s="165"/>
      <c r="AV50" s="165"/>
      <c r="AW50" s="165"/>
      <c r="AX50" s="165"/>
      <c r="AY50" s="165"/>
      <c r="AZ50" s="165"/>
      <c r="BA50" s="165"/>
      <c r="BB50" s="165"/>
      <c r="BC50" s="165"/>
      <c r="BD50" s="165"/>
      <c r="BE50" s="165"/>
      <c r="BF50" s="165"/>
      <c r="BG50" s="165"/>
      <c r="BH50" s="165"/>
      <c r="BI50" s="165"/>
      <c r="BJ50" s="165"/>
      <c r="BK50" s="165"/>
      <c r="BL50" s="165"/>
      <c r="BM50" s="165"/>
      <c r="BN50" s="165"/>
      <c r="BO50" s="178"/>
      <c r="BP50" s="179"/>
      <c r="BQ50" s="179"/>
      <c r="BR50" s="179"/>
      <c r="BS50" s="179"/>
      <c r="BT50" s="179"/>
      <c r="BU50" s="179"/>
      <c r="BV50" s="179"/>
      <c r="BW50" s="179"/>
      <c r="BX50" s="179"/>
      <c r="BY50" s="179"/>
      <c r="BZ50" s="179"/>
      <c r="CA50" s="179"/>
      <c r="CB50" s="179"/>
      <c r="CC50" s="179"/>
      <c r="CD50" s="179"/>
      <c r="CE50" s="179"/>
      <c r="CF50" s="179"/>
      <c r="CG50" s="179"/>
      <c r="CH50" s="179"/>
      <c r="CI50" s="179"/>
      <c r="CJ50" s="179"/>
      <c r="CK50" s="179"/>
      <c r="CL50" s="179"/>
      <c r="CM50" s="179"/>
      <c r="CN50" s="179"/>
      <c r="CO50" s="179"/>
      <c r="CP50" s="179"/>
      <c r="CQ50" s="179"/>
      <c r="CR50" s="179"/>
      <c r="CS50" s="179"/>
      <c r="CT50" s="179"/>
      <c r="CU50" s="179"/>
      <c r="CV50" s="175"/>
    </row>
    <row r="51" spans="2:100" ht="21.75" customHeight="1">
      <c r="B51" s="174"/>
      <c r="C51" s="304" t="s">
        <v>1746</v>
      </c>
      <c r="D51" s="305"/>
      <c r="E51" s="305"/>
      <c r="F51" s="305"/>
      <c r="G51" s="305"/>
      <c r="H51" s="305"/>
      <c r="I51" s="305"/>
      <c r="J51" s="305"/>
      <c r="K51" s="305"/>
      <c r="L51" s="305"/>
      <c r="M51" s="305"/>
      <c r="N51" s="305"/>
      <c r="O51" s="305"/>
      <c r="P51" s="305"/>
      <c r="Q51" s="305"/>
      <c r="R51" s="305"/>
      <c r="S51" s="305"/>
      <c r="T51" s="305"/>
      <c r="U51" s="305"/>
      <c r="V51" s="305"/>
      <c r="W51" s="305"/>
      <c r="X51" s="305"/>
      <c r="Y51" s="305"/>
      <c r="Z51" s="305"/>
      <c r="AA51" s="305"/>
      <c r="AB51" s="305"/>
      <c r="AC51" s="305"/>
      <c r="AD51" s="305"/>
      <c r="AE51" s="305"/>
      <c r="AF51" s="305"/>
      <c r="AG51" s="305"/>
      <c r="AH51" s="305"/>
      <c r="AI51" s="305"/>
      <c r="AJ51" s="305"/>
      <c r="AK51" s="305"/>
      <c r="AL51" s="305"/>
      <c r="AM51" s="305"/>
      <c r="AN51" s="305"/>
      <c r="AO51" s="305"/>
      <c r="AP51" s="305"/>
      <c r="AQ51" s="305"/>
      <c r="AR51" s="305"/>
      <c r="AS51" s="305"/>
      <c r="AT51" s="305"/>
      <c r="AU51" s="305"/>
      <c r="AV51" s="305"/>
      <c r="AW51" s="305"/>
      <c r="AX51" s="305"/>
      <c r="AY51" s="305"/>
      <c r="AZ51" s="305"/>
      <c r="BA51" s="305"/>
      <c r="BB51" s="305"/>
      <c r="BC51" s="305"/>
      <c r="BD51" s="305"/>
      <c r="BE51" s="305"/>
      <c r="BF51" s="305"/>
      <c r="BG51" s="305"/>
      <c r="BH51" s="305"/>
      <c r="BI51" s="165"/>
      <c r="BJ51" s="165"/>
      <c r="BK51" s="165"/>
      <c r="BL51" s="165"/>
      <c r="BM51" s="165"/>
      <c r="BN51" s="165"/>
      <c r="BO51" s="178"/>
      <c r="BP51" s="179"/>
      <c r="BQ51" s="179"/>
      <c r="BR51" s="179"/>
      <c r="BS51" s="179"/>
      <c r="BT51" s="179"/>
      <c r="BU51" s="179"/>
      <c r="BV51" s="179"/>
      <c r="BW51" s="179"/>
      <c r="BX51" s="179"/>
      <c r="BY51" s="179"/>
      <c r="BZ51" s="179"/>
      <c r="CA51" s="179"/>
      <c r="CB51" s="179"/>
      <c r="CC51" s="179"/>
      <c r="CD51" s="179"/>
      <c r="CE51" s="179"/>
      <c r="CF51" s="179"/>
      <c r="CG51" s="179"/>
      <c r="CH51" s="179"/>
      <c r="CI51" s="179"/>
      <c r="CJ51" s="179"/>
      <c r="CK51" s="179"/>
      <c r="CL51" s="179"/>
      <c r="CM51" s="179"/>
      <c r="CN51" s="179"/>
      <c r="CO51" s="179"/>
      <c r="CP51" s="179"/>
      <c r="CQ51" s="179"/>
      <c r="CR51" s="179"/>
      <c r="CS51" s="179"/>
      <c r="CT51" s="179"/>
      <c r="CU51" s="179"/>
      <c r="CV51" s="175"/>
    </row>
    <row r="52" spans="2:100" ht="21.75" customHeight="1">
      <c r="B52" s="174"/>
      <c r="C52" s="287" t="s">
        <v>1773</v>
      </c>
      <c r="D52" s="293"/>
      <c r="E52" s="293"/>
      <c r="F52" s="293"/>
      <c r="G52" s="293"/>
      <c r="H52" s="293"/>
      <c r="I52" s="293"/>
      <c r="J52" s="293"/>
      <c r="K52" s="293"/>
      <c r="L52" s="293"/>
      <c r="M52" s="293"/>
      <c r="N52" s="293"/>
      <c r="O52" s="293"/>
      <c r="P52" s="293"/>
      <c r="Q52" s="293"/>
      <c r="R52" s="293"/>
      <c r="S52" s="293"/>
      <c r="T52" s="293"/>
      <c r="U52" s="293"/>
      <c r="V52" s="293"/>
      <c r="W52" s="293"/>
      <c r="X52" s="293"/>
      <c r="Y52" s="293"/>
      <c r="Z52" s="293"/>
      <c r="AA52" s="293"/>
      <c r="AB52" s="293"/>
      <c r="AC52" s="293"/>
      <c r="AD52" s="293"/>
      <c r="AE52" s="293"/>
      <c r="AF52" s="293"/>
      <c r="AG52" s="293"/>
      <c r="AH52" s="293"/>
      <c r="AI52" s="293"/>
      <c r="AJ52" s="293"/>
      <c r="AK52" s="293"/>
      <c r="AL52" s="293"/>
      <c r="AM52" s="293"/>
      <c r="AN52" s="293"/>
      <c r="AO52" s="293"/>
      <c r="AP52" s="293"/>
      <c r="AQ52" s="293"/>
      <c r="AR52" s="293"/>
      <c r="AS52" s="293"/>
      <c r="AT52" s="293"/>
      <c r="AU52" s="293"/>
      <c r="AV52" s="293"/>
      <c r="AW52" s="293"/>
      <c r="AX52" s="293"/>
      <c r="AY52" s="293"/>
      <c r="AZ52" s="293"/>
      <c r="BA52" s="293"/>
      <c r="BB52" s="293"/>
      <c r="BC52" s="293"/>
      <c r="BD52" s="293"/>
      <c r="BE52" s="293"/>
      <c r="BF52" s="293"/>
      <c r="BG52" s="293"/>
      <c r="BH52" s="293"/>
      <c r="BI52" s="293"/>
      <c r="BJ52" s="293"/>
      <c r="BK52" s="293"/>
      <c r="BL52" s="293"/>
      <c r="BM52" s="293"/>
      <c r="BN52" s="293"/>
      <c r="BO52" s="187"/>
      <c r="BP52" s="187"/>
      <c r="BQ52" s="187"/>
      <c r="BR52" s="187"/>
      <c r="BS52" s="187"/>
      <c r="BT52" s="187"/>
      <c r="BU52" s="187"/>
      <c r="BV52" s="187"/>
      <c r="BW52" s="187"/>
      <c r="BX52" s="187"/>
      <c r="BY52" s="187"/>
      <c r="BZ52" s="187"/>
      <c r="CA52" s="187"/>
      <c r="CB52" s="187"/>
      <c r="CC52" s="187"/>
      <c r="CD52" s="187"/>
      <c r="CE52" s="187"/>
      <c r="CF52" s="187"/>
      <c r="CG52" s="187"/>
      <c r="CH52" s="187"/>
      <c r="CI52" s="187"/>
      <c r="CJ52" s="187"/>
      <c r="CK52" s="187"/>
      <c r="CL52" s="187"/>
      <c r="CM52" s="187"/>
      <c r="CN52" s="187"/>
      <c r="CO52" s="187"/>
      <c r="CP52" s="187"/>
      <c r="CQ52" s="187"/>
      <c r="CR52" s="187"/>
      <c r="CS52" s="187"/>
      <c r="CT52" s="187"/>
      <c r="CU52" s="187"/>
      <c r="CV52" s="175"/>
    </row>
    <row r="53" spans="2:100" ht="21.75" customHeight="1">
      <c r="B53" s="174"/>
      <c r="C53" s="187"/>
      <c r="D53" s="187"/>
      <c r="E53" s="187"/>
      <c r="F53" s="187"/>
      <c r="G53" s="187"/>
      <c r="H53" s="187"/>
      <c r="I53" s="187"/>
      <c r="J53" s="187"/>
      <c r="K53" s="187"/>
      <c r="L53" s="187"/>
      <c r="M53" s="187"/>
      <c r="N53" s="187"/>
      <c r="O53" s="187"/>
      <c r="P53" s="187"/>
      <c r="Q53" s="187"/>
      <c r="R53" s="187"/>
      <c r="S53" s="187"/>
      <c r="T53" s="187"/>
      <c r="U53" s="187"/>
      <c r="V53" s="187"/>
      <c r="W53" s="187"/>
      <c r="X53" s="187"/>
      <c r="Y53" s="187"/>
      <c r="Z53" s="187"/>
      <c r="AA53" s="187"/>
      <c r="AB53" s="187"/>
      <c r="AC53" s="187"/>
      <c r="AD53" s="187"/>
      <c r="AE53" s="187"/>
      <c r="AF53" s="187"/>
      <c r="AG53" s="187"/>
      <c r="AH53" s="187"/>
      <c r="AI53" s="187"/>
      <c r="AJ53" s="187"/>
      <c r="AK53" s="187"/>
      <c r="AL53" s="187"/>
      <c r="AM53" s="187"/>
      <c r="AN53" s="187"/>
      <c r="AO53" s="187"/>
      <c r="AP53" s="187"/>
      <c r="AQ53" s="187"/>
      <c r="AR53" s="187"/>
      <c r="AS53" s="187"/>
      <c r="AT53" s="187"/>
      <c r="AU53" s="187"/>
      <c r="AV53" s="187"/>
      <c r="AW53" s="187"/>
      <c r="AX53" s="187"/>
      <c r="AY53" s="187"/>
      <c r="AZ53" s="187"/>
      <c r="BA53" s="187"/>
      <c r="BB53" s="187"/>
      <c r="BC53" s="187"/>
      <c r="BD53" s="187"/>
      <c r="BE53" s="187"/>
      <c r="BF53" s="187"/>
      <c r="BG53" s="187"/>
      <c r="BH53" s="187"/>
      <c r="BI53" s="187"/>
      <c r="BJ53" s="187"/>
      <c r="BK53" s="187"/>
      <c r="BL53" s="187"/>
      <c r="BM53" s="187"/>
      <c r="BN53" s="187"/>
      <c r="BO53" s="187"/>
      <c r="BP53" s="187"/>
      <c r="BQ53" s="187"/>
      <c r="BR53" s="187"/>
      <c r="BS53" s="187"/>
      <c r="BT53" s="187"/>
      <c r="BU53" s="187"/>
      <c r="BV53" s="187"/>
      <c r="BW53" s="187"/>
      <c r="BX53" s="187"/>
      <c r="BY53" s="187"/>
      <c r="BZ53" s="187"/>
      <c r="CA53" s="187"/>
      <c r="CB53" s="187"/>
      <c r="CC53" s="187"/>
      <c r="CD53" s="187"/>
      <c r="CE53" s="187"/>
      <c r="CF53" s="187"/>
      <c r="CG53" s="187"/>
      <c r="CH53" s="187"/>
      <c r="CI53" s="187"/>
      <c r="CJ53" s="187"/>
      <c r="CK53" s="187"/>
      <c r="CL53" s="187"/>
      <c r="CM53" s="187"/>
      <c r="CN53" s="187"/>
      <c r="CO53" s="187"/>
      <c r="CP53" s="187"/>
      <c r="CQ53" s="187"/>
      <c r="CR53" s="187"/>
      <c r="CS53" s="187"/>
      <c r="CT53" s="187"/>
      <c r="CU53" s="187"/>
      <c r="CV53" s="175"/>
    </row>
    <row r="54" spans="2:100" ht="21.75" customHeight="1">
      <c r="B54" s="174"/>
      <c r="C54" s="187"/>
      <c r="D54" s="187"/>
      <c r="E54" s="187"/>
      <c r="F54" s="187"/>
      <c r="G54" s="187"/>
      <c r="H54" s="187"/>
      <c r="I54" s="187"/>
      <c r="J54" s="187"/>
      <c r="K54" s="187"/>
      <c r="L54" s="187"/>
      <c r="M54" s="187"/>
      <c r="N54" s="187"/>
      <c r="O54" s="187"/>
      <c r="P54" s="187"/>
      <c r="Q54" s="187"/>
      <c r="R54" s="187"/>
      <c r="S54" s="187"/>
      <c r="T54" s="187"/>
      <c r="U54" s="187"/>
      <c r="V54" s="187"/>
      <c r="W54" s="187"/>
      <c r="X54" s="187"/>
      <c r="Y54" s="187"/>
      <c r="Z54" s="187"/>
      <c r="AA54" s="187"/>
      <c r="AB54" s="187"/>
      <c r="AC54" s="187"/>
      <c r="AD54" s="187"/>
      <c r="AE54" s="187"/>
      <c r="AF54" s="187"/>
      <c r="AG54" s="187"/>
      <c r="AH54" s="187"/>
      <c r="AI54" s="187"/>
      <c r="AJ54" s="187"/>
      <c r="AK54" s="187"/>
      <c r="AL54" s="187"/>
      <c r="AM54" s="187"/>
      <c r="AN54" s="187"/>
      <c r="AO54" s="187"/>
      <c r="AP54" s="187"/>
      <c r="AQ54" s="187"/>
      <c r="AR54" s="187"/>
      <c r="AS54" s="187"/>
      <c r="AT54" s="187"/>
      <c r="AU54" s="187"/>
      <c r="AV54" s="187"/>
      <c r="AW54" s="187"/>
      <c r="AX54" s="187"/>
      <c r="AY54" s="187"/>
      <c r="AZ54" s="187"/>
      <c r="BA54" s="187"/>
      <c r="BB54" s="187"/>
      <c r="BC54" s="187"/>
      <c r="BD54" s="187"/>
      <c r="BE54" s="187"/>
      <c r="BF54" s="187"/>
      <c r="BG54" s="187"/>
      <c r="BH54" s="187"/>
      <c r="BI54" s="187"/>
      <c r="BJ54" s="187"/>
      <c r="BK54" s="187"/>
      <c r="BL54" s="187"/>
      <c r="BM54" s="187"/>
      <c r="BN54" s="187"/>
      <c r="BO54" s="187"/>
      <c r="BP54" s="187"/>
      <c r="BQ54" s="187"/>
      <c r="BR54" s="187"/>
      <c r="BS54" s="187"/>
      <c r="BT54" s="187"/>
      <c r="BU54" s="187"/>
      <c r="BV54" s="187"/>
      <c r="BW54" s="187"/>
      <c r="BX54" s="187"/>
      <c r="BY54" s="187"/>
      <c r="BZ54" s="187"/>
      <c r="CA54" s="187"/>
      <c r="CB54" s="187"/>
      <c r="CC54" s="187"/>
      <c r="CD54" s="187"/>
      <c r="CE54" s="187"/>
      <c r="CF54" s="187"/>
      <c r="CG54" s="187"/>
      <c r="CH54" s="187"/>
      <c r="CI54" s="187"/>
      <c r="CJ54" s="187"/>
      <c r="CK54" s="187"/>
      <c r="CL54" s="187"/>
      <c r="CM54" s="187"/>
      <c r="CN54" s="187"/>
      <c r="CO54" s="187"/>
      <c r="CP54" s="187"/>
      <c r="CQ54" s="187"/>
      <c r="CR54" s="187"/>
      <c r="CS54" s="187"/>
      <c r="CT54" s="187"/>
      <c r="CU54" s="187"/>
      <c r="CV54" s="175"/>
    </row>
    <row r="55" spans="2:100" ht="21.75" customHeight="1">
      <c r="B55" s="174"/>
      <c r="C55" s="165"/>
      <c r="D55" s="165"/>
      <c r="E55" s="165"/>
      <c r="F55" s="165"/>
      <c r="G55" s="165"/>
      <c r="H55" s="165"/>
      <c r="I55" s="165"/>
      <c r="J55" s="165"/>
      <c r="K55" s="165"/>
      <c r="L55" s="165"/>
      <c r="M55" s="165"/>
      <c r="N55" s="165"/>
      <c r="O55" s="165"/>
      <c r="P55" s="165"/>
      <c r="Q55" s="165"/>
      <c r="R55" s="165"/>
      <c r="S55" s="165"/>
      <c r="T55" s="165"/>
      <c r="U55" s="165"/>
      <c r="V55" s="165"/>
      <c r="W55" s="165"/>
      <c r="X55" s="165"/>
      <c r="Y55" s="165"/>
      <c r="Z55" s="165"/>
      <c r="AA55" s="165"/>
      <c r="AB55" s="165"/>
      <c r="AC55" s="165"/>
      <c r="AD55" s="165"/>
      <c r="AE55" s="165"/>
      <c r="AF55" s="165"/>
      <c r="AG55" s="165"/>
      <c r="AH55" s="165"/>
      <c r="AI55" s="165"/>
      <c r="AJ55" s="165"/>
      <c r="AK55" s="165"/>
      <c r="AL55" s="165"/>
      <c r="AM55" s="165"/>
      <c r="AN55" s="165"/>
      <c r="AO55" s="165"/>
      <c r="AP55" s="165"/>
      <c r="AQ55" s="165"/>
      <c r="AR55" s="165"/>
      <c r="AS55" s="165"/>
      <c r="AT55" s="165"/>
      <c r="AU55" s="165"/>
      <c r="AV55" s="165"/>
      <c r="AW55" s="165"/>
      <c r="AX55" s="165"/>
      <c r="AY55" s="165"/>
      <c r="AZ55" s="165"/>
      <c r="BA55" s="165"/>
      <c r="BB55" s="165"/>
      <c r="BC55" s="165"/>
      <c r="BD55" s="165"/>
      <c r="BE55" s="165"/>
      <c r="BF55" s="165"/>
      <c r="BG55" s="165"/>
      <c r="BH55" s="165"/>
      <c r="BI55" s="165"/>
      <c r="BJ55" s="165"/>
      <c r="BK55" s="165"/>
      <c r="BL55" s="165"/>
      <c r="BM55" s="165"/>
      <c r="BN55" s="165"/>
      <c r="BO55" s="178"/>
      <c r="BP55" s="179"/>
      <c r="BQ55" s="179"/>
      <c r="BR55" s="179"/>
      <c r="BS55" s="179"/>
      <c r="BT55" s="179"/>
      <c r="BU55" s="179"/>
      <c r="BV55" s="179"/>
      <c r="BW55" s="179"/>
      <c r="BX55" s="179"/>
      <c r="BY55" s="179"/>
      <c r="BZ55" s="179"/>
      <c r="CA55" s="179"/>
      <c r="CB55" s="179"/>
      <c r="CC55" s="179"/>
      <c r="CD55" s="179"/>
      <c r="CE55" s="179"/>
      <c r="CF55" s="179"/>
      <c r="CG55" s="179"/>
      <c r="CH55" s="179"/>
      <c r="CI55" s="179"/>
      <c r="CJ55" s="179"/>
      <c r="CK55" s="179"/>
      <c r="CL55" s="179"/>
      <c r="CM55" s="179"/>
      <c r="CN55" s="179"/>
      <c r="CO55" s="179"/>
      <c r="CP55" s="179"/>
      <c r="CQ55" s="179"/>
      <c r="CR55" s="179"/>
      <c r="CS55" s="179"/>
      <c r="CT55" s="179"/>
      <c r="CU55" s="179"/>
      <c r="CV55" s="175"/>
    </row>
    <row r="56" spans="2:100" ht="21.75" customHeight="1">
      <c r="B56" s="174"/>
      <c r="C56" s="290" t="s">
        <v>1747</v>
      </c>
      <c r="D56" s="290"/>
      <c r="E56" s="290"/>
      <c r="F56" s="290"/>
      <c r="G56" s="290"/>
      <c r="H56" s="290"/>
      <c r="I56" s="290"/>
      <c r="J56" s="290"/>
      <c r="K56" s="290"/>
      <c r="L56" s="290"/>
      <c r="M56" s="290"/>
      <c r="N56" s="290"/>
      <c r="O56" s="290"/>
      <c r="P56" s="290"/>
      <c r="Q56" s="290"/>
      <c r="R56" s="290"/>
      <c r="S56" s="291" t="s">
        <v>1762</v>
      </c>
      <c r="T56" s="291"/>
      <c r="U56" s="291"/>
      <c r="V56" s="291"/>
      <c r="W56" s="291"/>
      <c r="X56" s="291"/>
      <c r="Y56" s="291"/>
      <c r="Z56" s="291"/>
      <c r="AA56" s="291"/>
      <c r="AB56" s="291"/>
      <c r="AC56" s="291"/>
      <c r="AD56" s="291"/>
      <c r="AE56" s="291"/>
      <c r="AF56" s="291"/>
      <c r="AG56" s="291"/>
      <c r="AH56" s="291"/>
      <c r="AI56" s="292" t="s">
        <v>1737</v>
      </c>
      <c r="AJ56" s="292"/>
      <c r="AK56" s="292"/>
      <c r="AL56" s="292"/>
      <c r="AM56" s="292"/>
      <c r="AN56" s="292"/>
      <c r="AO56" s="292"/>
      <c r="AP56" s="292"/>
      <c r="AQ56" s="292"/>
      <c r="AR56" s="292"/>
      <c r="AS56" s="292"/>
      <c r="AT56" s="292"/>
      <c r="AU56" s="292"/>
      <c r="AV56" s="292"/>
      <c r="AW56" s="292"/>
      <c r="AX56" s="292"/>
      <c r="AY56" s="291" t="s">
        <v>753</v>
      </c>
      <c r="AZ56" s="291"/>
      <c r="BA56" s="291"/>
      <c r="BB56" s="291"/>
      <c r="BC56" s="291"/>
      <c r="BD56" s="291"/>
      <c r="BE56" s="291"/>
      <c r="BF56" s="291"/>
      <c r="BG56" s="291"/>
      <c r="BH56" s="291"/>
      <c r="BI56" s="291"/>
      <c r="BJ56" s="291"/>
      <c r="BK56" s="291"/>
      <c r="BL56" s="291"/>
      <c r="BM56" s="291"/>
      <c r="BN56" s="291"/>
      <c r="BO56" s="292" t="s">
        <v>1738</v>
      </c>
      <c r="BP56" s="292"/>
      <c r="BQ56" s="292"/>
      <c r="BR56" s="292"/>
      <c r="BS56" s="292"/>
      <c r="BT56" s="292"/>
      <c r="BU56" s="292"/>
      <c r="BV56" s="292"/>
      <c r="BW56" s="292"/>
      <c r="BX56" s="292"/>
      <c r="BY56" s="292"/>
      <c r="BZ56" s="292"/>
      <c r="CA56" s="292"/>
      <c r="CB56" s="292"/>
      <c r="CC56" s="292"/>
      <c r="CD56" s="292"/>
      <c r="CE56" s="291" t="s">
        <v>753</v>
      </c>
      <c r="CF56" s="291"/>
      <c r="CG56" s="291"/>
      <c r="CH56" s="291"/>
      <c r="CI56" s="291"/>
      <c r="CJ56" s="291"/>
      <c r="CK56" s="291"/>
      <c r="CL56" s="291"/>
      <c r="CM56" s="291"/>
      <c r="CN56" s="291"/>
      <c r="CO56" s="291"/>
      <c r="CP56" s="291"/>
      <c r="CQ56" s="291"/>
      <c r="CR56" s="291"/>
      <c r="CS56" s="291"/>
      <c r="CT56" s="291"/>
      <c r="CU56" s="179"/>
      <c r="CV56" s="175"/>
    </row>
    <row r="57" spans="2:100" ht="21.75" customHeight="1">
      <c r="B57" s="174"/>
      <c r="C57" s="165"/>
      <c r="D57" s="165"/>
      <c r="E57" s="165"/>
      <c r="F57" s="165"/>
      <c r="G57" s="165"/>
      <c r="H57" s="165"/>
      <c r="I57" s="165"/>
      <c r="J57" s="165"/>
      <c r="K57" s="165"/>
      <c r="L57" s="165"/>
      <c r="M57" s="165"/>
      <c r="N57" s="165"/>
      <c r="O57" s="165"/>
      <c r="P57" s="165"/>
      <c r="Q57" s="165"/>
      <c r="R57" s="165"/>
      <c r="S57" s="165"/>
      <c r="T57" s="165"/>
      <c r="U57" s="165"/>
      <c r="V57" s="165"/>
      <c r="W57" s="165"/>
      <c r="X57" s="165"/>
      <c r="Y57" s="165"/>
      <c r="Z57" s="165"/>
      <c r="AA57" s="165"/>
      <c r="AB57" s="165"/>
      <c r="AC57" s="165"/>
      <c r="AD57" s="165"/>
      <c r="AE57" s="165"/>
      <c r="AF57" s="165"/>
      <c r="AG57" s="165"/>
      <c r="AH57" s="165"/>
      <c r="AI57" s="165"/>
      <c r="AJ57" s="165"/>
      <c r="AK57" s="165"/>
      <c r="AL57" s="165"/>
      <c r="AM57" s="165"/>
      <c r="AN57" s="165"/>
      <c r="AO57" s="165"/>
      <c r="AP57" s="165"/>
      <c r="AQ57" s="165"/>
      <c r="AR57" s="165"/>
      <c r="AS57" s="165"/>
      <c r="AT57" s="165"/>
      <c r="AU57" s="165"/>
      <c r="AV57" s="165"/>
      <c r="AW57" s="165"/>
      <c r="AX57" s="165"/>
      <c r="AY57" s="165"/>
      <c r="AZ57" s="165"/>
      <c r="BA57" s="165"/>
      <c r="BB57" s="165"/>
      <c r="BC57" s="165"/>
      <c r="BD57" s="165"/>
      <c r="BE57" s="165"/>
      <c r="BF57" s="165"/>
      <c r="BG57" s="165"/>
      <c r="BH57" s="165"/>
      <c r="BI57" s="165"/>
      <c r="BJ57" s="165"/>
      <c r="BK57" s="165"/>
      <c r="BL57" s="165"/>
      <c r="BM57" s="165"/>
      <c r="BN57" s="165"/>
      <c r="BO57" s="178"/>
      <c r="BP57" s="179"/>
      <c r="BQ57" s="179"/>
      <c r="BR57" s="179"/>
      <c r="BS57" s="179"/>
      <c r="BT57" s="179"/>
      <c r="BU57" s="179"/>
      <c r="BV57" s="179"/>
      <c r="BW57" s="179"/>
      <c r="BX57" s="179"/>
      <c r="BY57" s="179"/>
      <c r="BZ57" s="179"/>
      <c r="CA57" s="179"/>
      <c r="CB57" s="179"/>
      <c r="CC57" s="179"/>
      <c r="CD57" s="179"/>
      <c r="CE57" s="179"/>
      <c r="CF57" s="179"/>
      <c r="CG57" s="179"/>
      <c r="CH57" s="179"/>
      <c r="CI57" s="179"/>
      <c r="CJ57" s="179"/>
      <c r="CK57" s="179"/>
      <c r="CL57" s="179"/>
      <c r="CM57" s="179"/>
      <c r="CN57" s="179"/>
      <c r="CO57" s="179"/>
      <c r="CP57" s="179"/>
      <c r="CQ57" s="179"/>
      <c r="CR57" s="179"/>
      <c r="CS57" s="179"/>
      <c r="CT57" s="179"/>
      <c r="CU57" s="179"/>
      <c r="CV57" s="175"/>
    </row>
    <row r="58" spans="2:100" ht="21.75" customHeight="1" thickBot="1">
      <c r="B58" s="180"/>
      <c r="C58" s="181"/>
      <c r="D58" s="181"/>
      <c r="E58" s="181"/>
      <c r="F58" s="181"/>
      <c r="G58" s="181"/>
      <c r="H58" s="181"/>
      <c r="I58" s="181"/>
      <c r="J58" s="181"/>
      <c r="K58" s="181"/>
      <c r="L58" s="181"/>
      <c r="M58" s="181"/>
      <c r="N58" s="181"/>
      <c r="O58" s="181"/>
      <c r="P58" s="181"/>
      <c r="Q58" s="181"/>
      <c r="R58" s="181"/>
      <c r="S58" s="181"/>
      <c r="T58" s="181"/>
      <c r="U58" s="181"/>
      <c r="V58" s="181"/>
      <c r="W58" s="181"/>
      <c r="X58" s="181"/>
      <c r="Y58" s="181"/>
      <c r="Z58" s="181"/>
      <c r="AA58" s="181"/>
      <c r="AB58" s="181"/>
      <c r="AC58" s="181"/>
      <c r="AD58" s="181"/>
      <c r="AE58" s="181"/>
      <c r="AF58" s="181"/>
      <c r="AG58" s="181"/>
      <c r="AH58" s="181"/>
      <c r="AI58" s="181"/>
      <c r="AJ58" s="181"/>
      <c r="AK58" s="181"/>
      <c r="AL58" s="181"/>
      <c r="AM58" s="181"/>
      <c r="AN58" s="181"/>
      <c r="AO58" s="181"/>
      <c r="AP58" s="181"/>
      <c r="AQ58" s="181"/>
      <c r="AR58" s="181"/>
      <c r="AS58" s="181"/>
      <c r="AT58" s="181"/>
      <c r="AU58" s="181"/>
      <c r="AV58" s="181"/>
      <c r="AW58" s="181"/>
      <c r="AX58" s="181"/>
      <c r="AY58" s="181"/>
      <c r="AZ58" s="181"/>
      <c r="BA58" s="181"/>
      <c r="BB58" s="181"/>
      <c r="BC58" s="181"/>
      <c r="BD58" s="181"/>
      <c r="BE58" s="181"/>
      <c r="BF58" s="181"/>
      <c r="BG58" s="181"/>
      <c r="BH58" s="181"/>
      <c r="BI58" s="181"/>
      <c r="BJ58" s="181"/>
      <c r="BK58" s="181"/>
      <c r="BL58" s="181"/>
      <c r="BM58" s="181"/>
      <c r="BN58" s="181"/>
      <c r="BO58" s="181"/>
      <c r="BP58" s="181"/>
      <c r="BQ58" s="182"/>
      <c r="BR58" s="182"/>
      <c r="BS58" s="182"/>
      <c r="BT58" s="182"/>
      <c r="BU58" s="182"/>
      <c r="BV58" s="182"/>
      <c r="BW58" s="182"/>
      <c r="BX58" s="182"/>
      <c r="BY58" s="182"/>
      <c r="BZ58" s="182"/>
      <c r="CA58" s="182"/>
      <c r="CB58" s="182"/>
      <c r="CC58" s="182"/>
      <c r="CD58" s="182"/>
      <c r="CE58" s="182"/>
      <c r="CF58" s="182"/>
      <c r="CG58" s="182"/>
      <c r="CH58" s="182"/>
      <c r="CI58" s="182"/>
      <c r="CJ58" s="182"/>
      <c r="CK58" s="182"/>
      <c r="CL58" s="182"/>
      <c r="CM58" s="182"/>
      <c r="CN58" s="182"/>
      <c r="CO58" s="182"/>
      <c r="CP58" s="182"/>
      <c r="CQ58" s="182"/>
      <c r="CR58" s="182"/>
      <c r="CS58" s="182"/>
      <c r="CT58" s="182"/>
      <c r="CU58" s="182"/>
      <c r="CV58" s="183"/>
    </row>
    <row r="59" spans="2:100" ht="7.9" customHeight="1">
      <c r="B59" s="152"/>
      <c r="C59" s="152"/>
      <c r="D59" s="152"/>
      <c r="E59" s="152"/>
      <c r="F59" s="152"/>
      <c r="G59" s="152"/>
      <c r="H59" s="152"/>
      <c r="I59" s="152"/>
      <c r="J59" s="152"/>
      <c r="K59" s="152"/>
      <c r="L59" s="152"/>
      <c r="M59" s="152"/>
      <c r="N59" s="152"/>
      <c r="O59" s="152"/>
      <c r="P59" s="152"/>
      <c r="Q59" s="152"/>
      <c r="R59" s="152"/>
      <c r="S59" s="152"/>
      <c r="T59" s="152"/>
      <c r="U59" s="152"/>
      <c r="V59" s="152"/>
      <c r="W59" s="152"/>
      <c r="X59" s="152"/>
      <c r="Y59" s="152"/>
      <c r="Z59" s="152"/>
      <c r="AA59" s="152"/>
      <c r="AB59" s="152"/>
      <c r="AC59" s="152"/>
      <c r="AD59" s="152"/>
      <c r="AE59" s="152"/>
      <c r="AF59" s="152"/>
      <c r="AG59" s="152"/>
      <c r="AH59" s="152"/>
      <c r="AI59" s="152"/>
      <c r="AJ59" s="152"/>
      <c r="AK59" s="152"/>
      <c r="AL59" s="152"/>
      <c r="AM59" s="152"/>
      <c r="AN59" s="152"/>
      <c r="AO59" s="152"/>
      <c r="AP59" s="152"/>
      <c r="AQ59" s="152"/>
      <c r="AR59" s="152"/>
      <c r="AS59" s="152"/>
      <c r="AT59" s="152"/>
      <c r="AU59" s="152"/>
      <c r="AV59" s="152"/>
      <c r="AW59" s="152"/>
      <c r="AX59" s="152"/>
      <c r="AY59" s="152"/>
      <c r="AZ59" s="152"/>
      <c r="BA59" s="152"/>
      <c r="BB59" s="152"/>
      <c r="BC59" s="152"/>
      <c r="BD59" s="152"/>
      <c r="BE59" s="152"/>
      <c r="BF59" s="152"/>
      <c r="BG59" s="152"/>
      <c r="BH59" s="152"/>
      <c r="BI59" s="152"/>
      <c r="BJ59" s="152"/>
      <c r="BK59" s="152"/>
      <c r="BL59" s="152"/>
      <c r="BM59" s="152"/>
      <c r="BN59" s="152"/>
      <c r="BO59" s="152"/>
      <c r="BP59" s="152"/>
      <c r="BQ59" s="151"/>
      <c r="BR59" s="151"/>
      <c r="BS59" s="151"/>
      <c r="BT59" s="151"/>
      <c r="BU59" s="151"/>
      <c r="BV59" s="151"/>
      <c r="BW59" s="151"/>
      <c r="BX59" s="151"/>
      <c r="BY59" s="151"/>
      <c r="BZ59" s="151"/>
      <c r="CA59" s="151"/>
      <c r="CB59" s="151"/>
      <c r="CC59" s="151"/>
      <c r="CD59" s="151"/>
      <c r="CE59" s="151"/>
      <c r="CF59" s="151"/>
      <c r="CG59" s="151"/>
      <c r="CH59" s="151"/>
      <c r="CI59" s="151"/>
      <c r="CJ59" s="151"/>
      <c r="CK59" s="151"/>
      <c r="CL59" s="151"/>
      <c r="CM59" s="151"/>
      <c r="CN59" s="151"/>
      <c r="CO59" s="151"/>
      <c r="CP59" s="151"/>
      <c r="CQ59" s="151"/>
      <c r="CR59" s="151"/>
      <c r="CS59" s="151"/>
      <c r="CT59" s="151"/>
      <c r="CU59" s="151"/>
      <c r="CV59" s="151"/>
    </row>
    <row r="60" spans="2:100" ht="24" customHeight="1"/>
    <row r="61" spans="2:100" ht="24" customHeight="1"/>
    <row r="62" spans="2:100" ht="24" customHeight="1"/>
    <row r="63" spans="2:100" ht="24" customHeight="1"/>
    <row r="64" spans="2:100" ht="24" customHeight="1"/>
  </sheetData>
  <mergeCells count="66">
    <mergeCell ref="B2:CB2"/>
    <mergeCell ref="CC2:CK2"/>
    <mergeCell ref="CL2:CV2"/>
    <mergeCell ref="B3:CB3"/>
    <mergeCell ref="CC3:CK3"/>
    <mergeCell ref="CL3:CV3"/>
    <mergeCell ref="C16:CU18"/>
    <mergeCell ref="B6:CV6"/>
    <mergeCell ref="B4:BC4"/>
    <mergeCell ref="BD4:CB4"/>
    <mergeCell ref="CC4:CK4"/>
    <mergeCell ref="CL4:CV4"/>
    <mergeCell ref="B5:BC5"/>
    <mergeCell ref="BD5:CB5"/>
    <mergeCell ref="CC5:CK5"/>
    <mergeCell ref="CL5:CV5"/>
    <mergeCell ref="C35:CU36"/>
    <mergeCell ref="C37:BH37"/>
    <mergeCell ref="AI44:AX44"/>
    <mergeCell ref="AY44:BN44"/>
    <mergeCell ref="BO44:CD44"/>
    <mergeCell ref="CE44:CT44"/>
    <mergeCell ref="C44:R44"/>
    <mergeCell ref="S44:AH44"/>
    <mergeCell ref="C28:BH28"/>
    <mergeCell ref="C29:CU30"/>
    <mergeCell ref="C31:BH31"/>
    <mergeCell ref="C32:CU33"/>
    <mergeCell ref="C34:BH34"/>
    <mergeCell ref="CE56:CT56"/>
    <mergeCell ref="C52:CU54"/>
    <mergeCell ref="C47:CU49"/>
    <mergeCell ref="C11:H11"/>
    <mergeCell ref="Y11:AD11"/>
    <mergeCell ref="AE11:AT11"/>
    <mergeCell ref="I11:X11"/>
    <mergeCell ref="BB11:BR11"/>
    <mergeCell ref="AU11:BA11"/>
    <mergeCell ref="BS11:CA11"/>
    <mergeCell ref="CB11:CU11"/>
    <mergeCell ref="C38:CU39"/>
    <mergeCell ref="C40:BH40"/>
    <mergeCell ref="C41:CU42"/>
    <mergeCell ref="C46:BH46"/>
    <mergeCell ref="C51:BH51"/>
    <mergeCell ref="C56:R56"/>
    <mergeCell ref="S56:AH56"/>
    <mergeCell ref="AI56:AX56"/>
    <mergeCell ref="AY56:BN56"/>
    <mergeCell ref="BO56:CD56"/>
    <mergeCell ref="C9:BR9"/>
    <mergeCell ref="C12:BR12"/>
    <mergeCell ref="Z26:CU26"/>
    <mergeCell ref="Z27:CU27"/>
    <mergeCell ref="W27:Y27"/>
    <mergeCell ref="C27:Q27"/>
    <mergeCell ref="C26:Q26"/>
    <mergeCell ref="BS10:CA10"/>
    <mergeCell ref="CB10:CU10"/>
    <mergeCell ref="C10:N10"/>
    <mergeCell ref="O10:BR10"/>
    <mergeCell ref="C19:BN19"/>
    <mergeCell ref="C20:CU22"/>
    <mergeCell ref="BT9:CD9"/>
    <mergeCell ref="C15:BN15"/>
    <mergeCell ref="C13:CU14"/>
  </mergeCells>
  <phoneticPr fontId="5"/>
  <dataValidations count="1">
    <dataValidation type="list" showInputMessage="1" showErrorMessage="1" sqref="AC7" xr:uid="{DD10EF7A-45AE-42E1-8BDD-5B242A932320}">
      <formula1>"レ"</formula1>
    </dataValidation>
  </dataValidations>
  <printOptions horizontalCentered="1"/>
  <pageMargins left="0.19685039370078741" right="0.19685039370078741" top="0.19685039370078741" bottom="0.19685039370078741" header="0.23622047244094491" footer="0.19685039370078741"/>
  <pageSetup paperSize="9" scale="74" fitToHeight="0"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067E07-E7D5-4DCC-8014-0998D8259C81}">
  <sheetPr codeName="Sheet6"/>
  <dimension ref="C2:I130"/>
  <sheetViews>
    <sheetView topLeftCell="A105" workbookViewId="0">
      <selection activeCell="B115" sqref="B115"/>
    </sheetView>
  </sheetViews>
  <sheetFormatPr defaultRowHeight="18.75"/>
  <cols>
    <col min="6" max="6" width="21.75" customWidth="1"/>
  </cols>
  <sheetData>
    <row r="2" spans="3:9">
      <c r="C2" t="s">
        <v>1677</v>
      </c>
    </row>
    <row r="4" spans="3:9" ht="18.75" customHeight="1">
      <c r="C4" t="s">
        <v>1664</v>
      </c>
      <c r="F4" s="158"/>
      <c r="G4" s="313" t="s">
        <v>1695</v>
      </c>
      <c r="H4" s="313"/>
      <c r="I4" s="313"/>
    </row>
    <row r="5" spans="3:9">
      <c r="C5" t="s">
        <v>1652</v>
      </c>
      <c r="D5" t="s">
        <v>1667</v>
      </c>
      <c r="E5" t="s">
        <v>1660</v>
      </c>
      <c r="F5" s="158"/>
      <c r="G5" s="313"/>
      <c r="H5" s="313"/>
      <c r="I5" s="313"/>
    </row>
    <row r="6" spans="3:9">
      <c r="C6" t="s">
        <v>1640</v>
      </c>
      <c r="D6" t="s">
        <v>1667</v>
      </c>
      <c r="E6" t="s">
        <v>1661</v>
      </c>
      <c r="F6" s="158"/>
      <c r="G6" s="313"/>
      <c r="H6" s="313"/>
      <c r="I6" s="313"/>
    </row>
    <row r="7" spans="3:9">
      <c r="C7" t="s">
        <v>1641</v>
      </c>
      <c r="D7" t="s">
        <v>1667</v>
      </c>
      <c r="E7" t="s">
        <v>1662</v>
      </c>
      <c r="F7" s="158"/>
      <c r="G7" s="313"/>
      <c r="H7" s="313"/>
      <c r="I7" s="313"/>
    </row>
    <row r="8" spans="3:9">
      <c r="C8" t="s">
        <v>1694</v>
      </c>
      <c r="E8" t="s">
        <v>1663</v>
      </c>
      <c r="F8" s="158"/>
      <c r="G8" s="313"/>
      <c r="H8" s="313"/>
      <c r="I8" s="313"/>
    </row>
    <row r="9" spans="3:9">
      <c r="C9" t="s">
        <v>1642</v>
      </c>
      <c r="D9" t="s">
        <v>1667</v>
      </c>
      <c r="E9" t="s">
        <v>1663</v>
      </c>
      <c r="F9" s="158"/>
      <c r="G9" s="313"/>
      <c r="H9" s="313"/>
      <c r="I9" s="313"/>
    </row>
    <row r="10" spans="3:9">
      <c r="C10" t="s">
        <v>1643</v>
      </c>
      <c r="D10" t="s">
        <v>1667</v>
      </c>
      <c r="E10" t="s">
        <v>1663</v>
      </c>
      <c r="F10" s="158"/>
      <c r="G10" s="313"/>
      <c r="H10" s="313"/>
      <c r="I10" s="313"/>
    </row>
    <row r="11" spans="3:9">
      <c r="C11" t="s">
        <v>1644</v>
      </c>
      <c r="D11" t="s">
        <v>1667</v>
      </c>
      <c r="E11" t="s">
        <v>1663</v>
      </c>
      <c r="F11" s="158"/>
      <c r="G11" s="313"/>
      <c r="H11" s="313"/>
      <c r="I11" s="313"/>
    </row>
    <row r="12" spans="3:9">
      <c r="C12" t="s">
        <v>1645</v>
      </c>
      <c r="D12" t="s">
        <v>1667</v>
      </c>
      <c r="E12" t="s">
        <v>1663</v>
      </c>
      <c r="F12" s="158"/>
      <c r="G12" s="313"/>
      <c r="H12" s="313"/>
      <c r="I12" s="313"/>
    </row>
    <row r="13" spans="3:9">
      <c r="C13" t="s">
        <v>1646</v>
      </c>
      <c r="D13" t="s">
        <v>1667</v>
      </c>
      <c r="E13" t="s">
        <v>1663</v>
      </c>
      <c r="F13" s="158"/>
      <c r="G13" s="313"/>
      <c r="H13" s="313"/>
      <c r="I13" s="313"/>
    </row>
    <row r="14" spans="3:9">
      <c r="C14" t="s">
        <v>1653</v>
      </c>
      <c r="D14" t="s">
        <v>1667</v>
      </c>
      <c r="E14" t="s">
        <v>1663</v>
      </c>
      <c r="F14" s="158"/>
      <c r="G14" s="313"/>
      <c r="H14" s="313"/>
      <c r="I14" s="313"/>
    </row>
    <row r="15" spans="3:9">
      <c r="C15" t="s">
        <v>1654</v>
      </c>
      <c r="D15" t="s">
        <v>1667</v>
      </c>
      <c r="E15" t="s">
        <v>1661</v>
      </c>
      <c r="F15" s="158"/>
      <c r="G15" s="313"/>
      <c r="H15" s="313"/>
      <c r="I15" s="313"/>
    </row>
    <row r="16" spans="3:9">
      <c r="C16" t="s">
        <v>1655</v>
      </c>
      <c r="D16" t="s">
        <v>1667</v>
      </c>
      <c r="E16" t="s">
        <v>1662</v>
      </c>
      <c r="F16" s="158"/>
      <c r="G16" s="313"/>
      <c r="H16" s="313"/>
      <c r="I16" s="313"/>
    </row>
    <row r="17" spans="3:9">
      <c r="C17" t="s">
        <v>1656</v>
      </c>
      <c r="D17" t="s">
        <v>1667</v>
      </c>
      <c r="E17" t="s">
        <v>1663</v>
      </c>
      <c r="F17" s="158"/>
      <c r="G17" s="313"/>
      <c r="H17" s="313"/>
      <c r="I17" s="313"/>
    </row>
    <row r="18" spans="3:9">
      <c r="C18" t="s">
        <v>1657</v>
      </c>
      <c r="D18" t="s">
        <v>1667</v>
      </c>
      <c r="E18" t="s">
        <v>1663</v>
      </c>
      <c r="F18" s="158"/>
      <c r="G18" s="313"/>
      <c r="H18" s="313"/>
      <c r="I18" s="313"/>
    </row>
    <row r="19" spans="3:9">
      <c r="C19" t="s">
        <v>1658</v>
      </c>
      <c r="D19" t="s">
        <v>1667</v>
      </c>
      <c r="E19" t="s">
        <v>1661</v>
      </c>
      <c r="F19" s="158"/>
      <c r="G19" s="313"/>
      <c r="H19" s="313"/>
      <c r="I19" s="313"/>
    </row>
    <row r="20" spans="3:9">
      <c r="C20" t="s">
        <v>1659</v>
      </c>
      <c r="D20" t="s">
        <v>1667</v>
      </c>
      <c r="E20" t="s">
        <v>1662</v>
      </c>
      <c r="F20" s="158"/>
      <c r="G20" s="313"/>
      <c r="H20" s="313"/>
      <c r="I20" s="313"/>
    </row>
    <row r="21" spans="3:9">
      <c r="C21" t="s">
        <v>1692</v>
      </c>
      <c r="D21" t="s">
        <v>1667</v>
      </c>
      <c r="E21" t="s">
        <v>1666</v>
      </c>
      <c r="F21" s="158"/>
      <c r="G21" s="313"/>
      <c r="H21" s="313"/>
      <c r="I21" s="313"/>
    </row>
    <row r="22" spans="3:9">
      <c r="C22" t="s">
        <v>1665</v>
      </c>
      <c r="F22" s="158"/>
      <c r="G22" s="313"/>
      <c r="H22" s="313"/>
      <c r="I22" s="313"/>
    </row>
    <row r="24" spans="3:9">
      <c r="C24" s="158" t="s">
        <v>1691</v>
      </c>
    </row>
    <row r="26" spans="3:9">
      <c r="C26" t="s">
        <v>1650</v>
      </c>
    </row>
    <row r="27" spans="3:9">
      <c r="C27" t="s">
        <v>1651</v>
      </c>
    </row>
    <row r="29" spans="3:9" ht="22.5">
      <c r="C29" s="163" t="s">
        <v>1647</v>
      </c>
    </row>
    <row r="30" spans="3:9">
      <c r="C30" t="s">
        <v>1648</v>
      </c>
    </row>
    <row r="31" spans="3:9">
      <c r="C31" s="164" t="s">
        <v>1649</v>
      </c>
    </row>
    <row r="34" spans="3:3">
      <c r="C34" t="s">
        <v>1698</v>
      </c>
    </row>
    <row r="35" spans="3:3">
      <c r="C35" t="s">
        <v>1580</v>
      </c>
    </row>
    <row r="36" spans="3:3">
      <c r="C36" t="s">
        <v>1581</v>
      </c>
    </row>
    <row r="37" spans="3:3">
      <c r="C37" t="s">
        <v>1580</v>
      </c>
    </row>
    <row r="38" spans="3:3">
      <c r="C38" t="s">
        <v>1582</v>
      </c>
    </row>
    <row r="39" spans="3:3">
      <c r="C39" t="s">
        <v>1583</v>
      </c>
    </row>
    <row r="40" spans="3:3">
      <c r="C40" t="s">
        <v>1584</v>
      </c>
    </row>
    <row r="41" spans="3:3">
      <c r="C41" t="s">
        <v>1585</v>
      </c>
    </row>
    <row r="42" spans="3:3">
      <c r="C42" t="s">
        <v>1586</v>
      </c>
    </row>
    <row r="43" spans="3:3">
      <c r="C43" t="s">
        <v>1587</v>
      </c>
    </row>
    <row r="44" spans="3:3">
      <c r="C44" t="s">
        <v>1588</v>
      </c>
    </row>
    <row r="45" spans="3:3">
      <c r="C45" t="s">
        <v>1589</v>
      </c>
    </row>
    <row r="46" spans="3:3">
      <c r="C46" t="s">
        <v>1590</v>
      </c>
    </row>
    <row r="47" spans="3:3">
      <c r="C47" t="s">
        <v>1591</v>
      </c>
    </row>
    <row r="48" spans="3:3">
      <c r="C48" t="s">
        <v>1592</v>
      </c>
    </row>
    <row r="49" spans="3:3">
      <c r="C49" t="s">
        <v>1593</v>
      </c>
    </row>
    <row r="50" spans="3:3">
      <c r="C50" t="s">
        <v>1594</v>
      </c>
    </row>
    <row r="51" spans="3:3">
      <c r="C51" t="s">
        <v>1595</v>
      </c>
    </row>
    <row r="52" spans="3:3">
      <c r="C52" t="s">
        <v>1596</v>
      </c>
    </row>
    <row r="53" spans="3:3">
      <c r="C53" t="s">
        <v>1597</v>
      </c>
    </row>
    <row r="54" spans="3:3">
      <c r="C54" t="s">
        <v>1598</v>
      </c>
    </row>
    <row r="55" spans="3:3">
      <c r="C55" t="s">
        <v>1599</v>
      </c>
    </row>
    <row r="56" spans="3:3">
      <c r="C56" t="s">
        <v>1600</v>
      </c>
    </row>
    <row r="57" spans="3:3">
      <c r="C57" t="s">
        <v>1601</v>
      </c>
    </row>
    <row r="58" spans="3:3">
      <c r="C58" t="s">
        <v>1602</v>
      </c>
    </row>
    <row r="59" spans="3:3">
      <c r="C59" t="s">
        <v>1603</v>
      </c>
    </row>
    <row r="60" spans="3:3">
      <c r="C60" t="s">
        <v>1604</v>
      </c>
    </row>
    <row r="61" spans="3:3">
      <c r="C61" t="s">
        <v>1605</v>
      </c>
    </row>
    <row r="62" spans="3:3">
      <c r="C62" t="s">
        <v>1606</v>
      </c>
    </row>
    <row r="63" spans="3:3">
      <c r="C63" t="s">
        <v>1607</v>
      </c>
    </row>
    <row r="64" spans="3:3">
      <c r="C64" t="s">
        <v>1608</v>
      </c>
    </row>
    <row r="65" spans="3:3">
      <c r="C65" t="s">
        <v>1609</v>
      </c>
    </row>
    <row r="66" spans="3:3">
      <c r="C66" t="s">
        <v>1610</v>
      </c>
    </row>
    <row r="67" spans="3:3">
      <c r="C67" t="s">
        <v>1611</v>
      </c>
    </row>
    <row r="68" spans="3:3">
      <c r="C68" t="s">
        <v>1612</v>
      </c>
    </row>
    <row r="69" spans="3:3">
      <c r="C69" t="s">
        <v>1613</v>
      </c>
    </row>
    <row r="70" spans="3:3">
      <c r="C70" t="s">
        <v>1614</v>
      </c>
    </row>
    <row r="71" spans="3:3">
      <c r="C71" t="s">
        <v>1615</v>
      </c>
    </row>
    <row r="72" spans="3:3">
      <c r="C72" t="s">
        <v>1616</v>
      </c>
    </row>
    <row r="73" spans="3:3">
      <c r="C73" t="s">
        <v>1617</v>
      </c>
    </row>
    <row r="74" spans="3:3">
      <c r="C74" t="s">
        <v>1618</v>
      </c>
    </row>
    <row r="75" spans="3:3">
      <c r="C75" t="s">
        <v>1619</v>
      </c>
    </row>
    <row r="76" spans="3:3">
      <c r="C76" t="s">
        <v>1620</v>
      </c>
    </row>
    <row r="77" spans="3:3">
      <c r="C77" t="s">
        <v>1621</v>
      </c>
    </row>
    <row r="78" spans="3:3">
      <c r="C78" t="s">
        <v>1622</v>
      </c>
    </row>
    <row r="79" spans="3:3">
      <c r="C79" t="s">
        <v>1623</v>
      </c>
    </row>
    <row r="80" spans="3:3">
      <c r="C80" t="s">
        <v>1624</v>
      </c>
    </row>
    <row r="81" spans="3:3">
      <c r="C81" t="s">
        <v>1625</v>
      </c>
    </row>
    <row r="82" spans="3:3">
      <c r="C82" t="s">
        <v>1626</v>
      </c>
    </row>
    <row r="83" spans="3:3">
      <c r="C83" t="s">
        <v>1627</v>
      </c>
    </row>
    <row r="84" spans="3:3">
      <c r="C84" t="s">
        <v>1628</v>
      </c>
    </row>
    <row r="85" spans="3:3">
      <c r="C85" t="s">
        <v>1629</v>
      </c>
    </row>
    <row r="86" spans="3:3">
      <c r="C86" t="s">
        <v>1630</v>
      </c>
    </row>
    <row r="87" spans="3:3">
      <c r="C87" t="s">
        <v>1631</v>
      </c>
    </row>
    <row r="88" spans="3:3">
      <c r="C88" t="s">
        <v>1632</v>
      </c>
    </row>
    <row r="89" spans="3:3">
      <c r="C89" t="s">
        <v>1633</v>
      </c>
    </row>
    <row r="90" spans="3:3">
      <c r="C90" t="s">
        <v>1634</v>
      </c>
    </row>
    <row r="91" spans="3:3">
      <c r="C91" t="s">
        <v>1635</v>
      </c>
    </row>
    <row r="92" spans="3:3">
      <c r="C92" t="s">
        <v>1636</v>
      </c>
    </row>
    <row r="93" spans="3:3">
      <c r="C93" t="s">
        <v>1637</v>
      </c>
    </row>
    <row r="94" spans="3:3">
      <c r="C94" t="s">
        <v>1638</v>
      </c>
    </row>
    <row r="95" spans="3:3">
      <c r="C95" t="s">
        <v>1639</v>
      </c>
    </row>
    <row r="96" spans="3:3">
      <c r="C96" t="s">
        <v>1668</v>
      </c>
    </row>
    <row r="97" spans="3:3">
      <c r="C97" t="s">
        <v>1580</v>
      </c>
    </row>
    <row r="98" spans="3:3">
      <c r="C98" t="s">
        <v>1669</v>
      </c>
    </row>
    <row r="100" spans="3:3">
      <c r="C100" t="s">
        <v>1670</v>
      </c>
    </row>
    <row r="101" spans="3:3">
      <c r="C101" t="s">
        <v>1671</v>
      </c>
    </row>
    <row r="102" spans="3:3">
      <c r="C102" t="s">
        <v>1672</v>
      </c>
    </row>
    <row r="103" spans="3:3">
      <c r="C103" t="s">
        <v>1671</v>
      </c>
    </row>
    <row r="104" spans="3:3">
      <c r="C104" t="s">
        <v>1673</v>
      </c>
    </row>
    <row r="105" spans="3:3">
      <c r="C105" t="s">
        <v>1704</v>
      </c>
    </row>
    <row r="106" spans="3:3">
      <c r="C106" t="s">
        <v>1705</v>
      </c>
    </row>
    <row r="107" spans="3:3">
      <c r="C107" t="s">
        <v>1696</v>
      </c>
    </row>
    <row r="108" spans="3:3">
      <c r="C108" t="s">
        <v>1679</v>
      </c>
    </row>
    <row r="109" spans="3:3">
      <c r="C109" t="s">
        <v>1680</v>
      </c>
    </row>
    <row r="110" spans="3:3">
      <c r="C110" t="s">
        <v>1681</v>
      </c>
    </row>
    <row r="111" spans="3:3">
      <c r="C111" t="s">
        <v>1682</v>
      </c>
    </row>
    <row r="112" spans="3:3">
      <c r="C112" t="s">
        <v>1683</v>
      </c>
    </row>
    <row r="113" spans="3:3">
      <c r="C113" t="s">
        <v>1684</v>
      </c>
    </row>
    <row r="114" spans="3:3">
      <c r="C114" t="s">
        <v>1685</v>
      </c>
    </row>
    <row r="115" spans="3:3">
      <c r="C115" t="s">
        <v>1686</v>
      </c>
    </row>
    <row r="116" spans="3:3">
      <c r="C116" t="s">
        <v>1687</v>
      </c>
    </row>
    <row r="117" spans="3:3">
      <c r="C117" t="s">
        <v>1688</v>
      </c>
    </row>
    <row r="118" spans="3:3">
      <c r="C118" t="s">
        <v>1689</v>
      </c>
    </row>
    <row r="119" spans="3:3">
      <c r="C119" t="s">
        <v>1690</v>
      </c>
    </row>
    <row r="120" spans="3:3">
      <c r="C120" t="s">
        <v>1693</v>
      </c>
    </row>
    <row r="121" spans="3:3">
      <c r="C121" t="s">
        <v>1671</v>
      </c>
    </row>
    <row r="122" spans="3:3">
      <c r="C122" t="s">
        <v>1674</v>
      </c>
    </row>
    <row r="124" spans="3:3">
      <c r="C124" t="s">
        <v>1678</v>
      </c>
    </row>
    <row r="125" spans="3:3" ht="42.75" customHeight="1">
      <c r="C125" t="s">
        <v>1697</v>
      </c>
    </row>
    <row r="130" spans="4:4">
      <c r="D130" t="s">
        <v>1703</v>
      </c>
    </row>
  </sheetData>
  <mergeCells count="1">
    <mergeCell ref="G4:I22"/>
  </mergeCells>
  <phoneticPr fontId="5"/>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E49FC4-8B29-464C-A12D-C3363D6CC54B}">
  <sheetPr codeName="Sheet8">
    <pageSetUpPr fitToPage="1"/>
  </sheetPr>
  <dimension ref="B1:CV64"/>
  <sheetViews>
    <sheetView showGridLines="0" view="pageBreakPreview" topLeftCell="A13" zoomScale="85" zoomScaleNormal="85" zoomScaleSheetLayoutView="85" workbookViewId="0">
      <selection activeCell="CB11" sqref="CB11:CU11"/>
    </sheetView>
  </sheetViews>
  <sheetFormatPr defaultColWidth="9" defaultRowHeight="18.75"/>
  <cols>
    <col min="1" max="102" width="1.25" style="149" customWidth="1"/>
    <col min="103" max="130" width="1.375" style="149" customWidth="1"/>
    <col min="131" max="16384" width="9" style="149"/>
  </cols>
  <sheetData>
    <row r="1" spans="2:100" ht="7.5" customHeight="1"/>
    <row r="2" spans="2:100">
      <c r="B2" s="309" t="s">
        <v>559</v>
      </c>
      <c r="C2" s="309"/>
      <c r="D2" s="309"/>
      <c r="E2" s="309"/>
      <c r="F2" s="309"/>
      <c r="G2" s="309"/>
      <c r="H2" s="309"/>
      <c r="I2" s="309"/>
      <c r="J2" s="309"/>
      <c r="K2" s="309"/>
      <c r="L2" s="309"/>
      <c r="M2" s="309"/>
      <c r="N2" s="309"/>
      <c r="O2" s="309"/>
      <c r="P2" s="309"/>
      <c r="Q2" s="309"/>
      <c r="R2" s="309"/>
      <c r="S2" s="309"/>
      <c r="T2" s="309"/>
      <c r="U2" s="309"/>
      <c r="V2" s="309"/>
      <c r="W2" s="309"/>
      <c r="X2" s="309"/>
      <c r="Y2" s="309"/>
      <c r="Z2" s="309"/>
      <c r="AA2" s="309"/>
      <c r="AB2" s="309"/>
      <c r="AC2" s="309"/>
      <c r="AD2" s="309"/>
      <c r="AE2" s="309"/>
      <c r="AF2" s="309"/>
      <c r="AG2" s="309"/>
      <c r="AH2" s="309"/>
      <c r="AI2" s="309"/>
      <c r="AJ2" s="309"/>
      <c r="AK2" s="309"/>
      <c r="AL2" s="309"/>
      <c r="AM2" s="309"/>
      <c r="AN2" s="309"/>
      <c r="AO2" s="309"/>
      <c r="AP2" s="309"/>
      <c r="AQ2" s="309"/>
      <c r="AR2" s="309"/>
      <c r="AS2" s="309"/>
      <c r="AT2" s="309"/>
      <c r="AU2" s="309"/>
      <c r="AV2" s="309"/>
      <c r="AW2" s="309"/>
      <c r="AX2" s="309"/>
      <c r="AY2" s="309"/>
      <c r="AZ2" s="309"/>
      <c r="BA2" s="309"/>
      <c r="BB2" s="309"/>
      <c r="BC2" s="309"/>
      <c r="BD2" s="309"/>
      <c r="BE2" s="309"/>
      <c r="BF2" s="309"/>
      <c r="BG2" s="309"/>
      <c r="BH2" s="309"/>
      <c r="BI2" s="309"/>
      <c r="BJ2" s="309"/>
      <c r="BK2" s="309"/>
      <c r="BL2" s="309"/>
      <c r="BM2" s="309"/>
      <c r="BN2" s="309"/>
      <c r="BO2" s="309"/>
      <c r="BP2" s="309"/>
      <c r="BQ2" s="309"/>
      <c r="BR2" s="309"/>
      <c r="BS2" s="309"/>
      <c r="BT2" s="309"/>
      <c r="BU2" s="309"/>
      <c r="BV2" s="309"/>
      <c r="BW2" s="309"/>
      <c r="BX2" s="309"/>
      <c r="BY2" s="309"/>
      <c r="BZ2" s="309"/>
      <c r="CA2" s="309"/>
      <c r="CB2" s="309"/>
      <c r="CC2" s="309" t="s">
        <v>560</v>
      </c>
      <c r="CD2" s="309"/>
      <c r="CE2" s="309"/>
      <c r="CF2" s="309"/>
      <c r="CG2" s="309"/>
      <c r="CH2" s="309"/>
      <c r="CI2" s="309"/>
      <c r="CJ2" s="309"/>
      <c r="CK2" s="309"/>
      <c r="CL2" s="309" t="s">
        <v>561</v>
      </c>
      <c r="CM2" s="309"/>
      <c r="CN2" s="309"/>
      <c r="CO2" s="309"/>
      <c r="CP2" s="309"/>
      <c r="CQ2" s="309"/>
      <c r="CR2" s="309"/>
      <c r="CS2" s="309"/>
      <c r="CT2" s="309"/>
      <c r="CU2" s="309"/>
      <c r="CV2" s="309"/>
    </row>
    <row r="3" spans="2:100">
      <c r="B3" s="309" t="s">
        <v>562</v>
      </c>
      <c r="C3" s="309"/>
      <c r="D3" s="309"/>
      <c r="E3" s="309"/>
      <c r="F3" s="309"/>
      <c r="G3" s="309"/>
      <c r="H3" s="309"/>
      <c r="I3" s="309"/>
      <c r="J3" s="309"/>
      <c r="K3" s="309"/>
      <c r="L3" s="309"/>
      <c r="M3" s="309"/>
      <c r="N3" s="309"/>
      <c r="O3" s="309"/>
      <c r="P3" s="309"/>
      <c r="Q3" s="309"/>
      <c r="R3" s="309"/>
      <c r="S3" s="309"/>
      <c r="T3" s="309"/>
      <c r="U3" s="309"/>
      <c r="V3" s="309"/>
      <c r="W3" s="309"/>
      <c r="X3" s="309"/>
      <c r="Y3" s="309"/>
      <c r="Z3" s="309"/>
      <c r="AA3" s="309"/>
      <c r="AB3" s="309"/>
      <c r="AC3" s="309"/>
      <c r="AD3" s="309"/>
      <c r="AE3" s="309"/>
      <c r="AF3" s="309"/>
      <c r="AG3" s="309"/>
      <c r="AH3" s="309"/>
      <c r="AI3" s="309"/>
      <c r="AJ3" s="309"/>
      <c r="AK3" s="309"/>
      <c r="AL3" s="309"/>
      <c r="AM3" s="309"/>
      <c r="AN3" s="309"/>
      <c r="AO3" s="309"/>
      <c r="AP3" s="309"/>
      <c r="AQ3" s="309"/>
      <c r="AR3" s="309"/>
      <c r="AS3" s="309"/>
      <c r="AT3" s="309"/>
      <c r="AU3" s="309"/>
      <c r="AV3" s="309"/>
      <c r="AW3" s="309"/>
      <c r="AX3" s="309"/>
      <c r="AY3" s="309"/>
      <c r="AZ3" s="309"/>
      <c r="BA3" s="309"/>
      <c r="BB3" s="309"/>
      <c r="BC3" s="309"/>
      <c r="BD3" s="309"/>
      <c r="BE3" s="309"/>
      <c r="BF3" s="309"/>
      <c r="BG3" s="309"/>
      <c r="BH3" s="309"/>
      <c r="BI3" s="309"/>
      <c r="BJ3" s="309"/>
      <c r="BK3" s="309"/>
      <c r="BL3" s="309"/>
      <c r="BM3" s="309"/>
      <c r="BN3" s="309"/>
      <c r="BO3" s="309"/>
      <c r="BP3" s="309"/>
      <c r="BQ3" s="309"/>
      <c r="BR3" s="309"/>
      <c r="BS3" s="309"/>
      <c r="BT3" s="309"/>
      <c r="BU3" s="309"/>
      <c r="BV3" s="309"/>
      <c r="BW3" s="309"/>
      <c r="BX3" s="309"/>
      <c r="BY3" s="309"/>
      <c r="BZ3" s="309"/>
      <c r="CA3" s="309"/>
      <c r="CB3" s="309"/>
      <c r="CC3" s="312" t="s">
        <v>563</v>
      </c>
      <c r="CD3" s="312"/>
      <c r="CE3" s="312"/>
      <c r="CF3" s="312"/>
      <c r="CG3" s="312"/>
      <c r="CH3" s="312"/>
      <c r="CI3" s="312"/>
      <c r="CJ3" s="312"/>
      <c r="CK3" s="312"/>
      <c r="CL3" s="312" t="s">
        <v>564</v>
      </c>
      <c r="CM3" s="312"/>
      <c r="CN3" s="312"/>
      <c r="CO3" s="312"/>
      <c r="CP3" s="312"/>
      <c r="CQ3" s="312"/>
      <c r="CR3" s="312"/>
      <c r="CS3" s="312"/>
      <c r="CT3" s="312"/>
      <c r="CU3" s="312"/>
      <c r="CV3" s="312"/>
    </row>
    <row r="4" spans="2:100">
      <c r="B4" s="309" t="s">
        <v>565</v>
      </c>
      <c r="C4" s="309"/>
      <c r="D4" s="309"/>
      <c r="E4" s="309"/>
      <c r="F4" s="309"/>
      <c r="G4" s="309"/>
      <c r="H4" s="309"/>
      <c r="I4" s="309"/>
      <c r="J4" s="309"/>
      <c r="K4" s="309"/>
      <c r="L4" s="309"/>
      <c r="M4" s="309"/>
      <c r="N4" s="309"/>
      <c r="O4" s="309"/>
      <c r="P4" s="309"/>
      <c r="Q4" s="309"/>
      <c r="R4" s="309"/>
      <c r="S4" s="309"/>
      <c r="T4" s="309"/>
      <c r="U4" s="309"/>
      <c r="V4" s="309"/>
      <c r="W4" s="309"/>
      <c r="X4" s="309"/>
      <c r="Y4" s="309"/>
      <c r="Z4" s="309"/>
      <c r="AA4" s="309"/>
      <c r="AB4" s="309"/>
      <c r="AC4" s="309"/>
      <c r="AD4" s="309"/>
      <c r="AE4" s="309"/>
      <c r="AF4" s="309"/>
      <c r="AG4" s="309"/>
      <c r="AH4" s="309"/>
      <c r="AI4" s="309"/>
      <c r="AJ4" s="309"/>
      <c r="AK4" s="309"/>
      <c r="AL4" s="309"/>
      <c r="AM4" s="309"/>
      <c r="AN4" s="309"/>
      <c r="AO4" s="309"/>
      <c r="AP4" s="309"/>
      <c r="AQ4" s="309"/>
      <c r="AR4" s="309"/>
      <c r="AS4" s="309"/>
      <c r="AT4" s="309"/>
      <c r="AU4" s="309"/>
      <c r="AV4" s="309"/>
      <c r="AW4" s="309"/>
      <c r="AX4" s="309"/>
      <c r="AY4" s="309"/>
      <c r="AZ4" s="309"/>
      <c r="BA4" s="309"/>
      <c r="BB4" s="309"/>
      <c r="BC4" s="309"/>
      <c r="BD4" s="309" t="s">
        <v>566</v>
      </c>
      <c r="BE4" s="309"/>
      <c r="BF4" s="309"/>
      <c r="BG4" s="309"/>
      <c r="BH4" s="309"/>
      <c r="BI4" s="309"/>
      <c r="BJ4" s="309"/>
      <c r="BK4" s="309"/>
      <c r="BL4" s="309"/>
      <c r="BM4" s="309"/>
      <c r="BN4" s="309"/>
      <c r="BO4" s="309"/>
      <c r="BP4" s="309"/>
      <c r="BQ4" s="309"/>
      <c r="BR4" s="309"/>
      <c r="BS4" s="309"/>
      <c r="BT4" s="309"/>
      <c r="BU4" s="309"/>
      <c r="BV4" s="309"/>
      <c r="BW4" s="309"/>
      <c r="BX4" s="309"/>
      <c r="BY4" s="309"/>
      <c r="BZ4" s="309"/>
      <c r="CA4" s="309"/>
      <c r="CB4" s="309"/>
      <c r="CC4" s="309" t="s">
        <v>567</v>
      </c>
      <c r="CD4" s="309"/>
      <c r="CE4" s="309"/>
      <c r="CF4" s="309"/>
      <c r="CG4" s="309"/>
      <c r="CH4" s="309"/>
      <c r="CI4" s="309"/>
      <c r="CJ4" s="309"/>
      <c r="CK4" s="309"/>
      <c r="CL4" s="309" t="s">
        <v>568</v>
      </c>
      <c r="CM4" s="309"/>
      <c r="CN4" s="309"/>
      <c r="CO4" s="309"/>
      <c r="CP4" s="309"/>
      <c r="CQ4" s="309"/>
      <c r="CR4" s="309"/>
      <c r="CS4" s="309"/>
      <c r="CT4" s="309"/>
      <c r="CU4" s="309"/>
      <c r="CV4" s="309"/>
    </row>
    <row r="5" spans="2:100">
      <c r="B5" s="309" t="s">
        <v>569</v>
      </c>
      <c r="C5" s="309"/>
      <c r="D5" s="309"/>
      <c r="E5" s="309"/>
      <c r="F5" s="309"/>
      <c r="G5" s="309"/>
      <c r="H5" s="309"/>
      <c r="I5" s="309"/>
      <c r="J5" s="309"/>
      <c r="K5" s="309"/>
      <c r="L5" s="309"/>
      <c r="M5" s="309"/>
      <c r="N5" s="309"/>
      <c r="O5" s="309"/>
      <c r="P5" s="309"/>
      <c r="Q5" s="309"/>
      <c r="R5" s="309"/>
      <c r="S5" s="309"/>
      <c r="T5" s="309"/>
      <c r="U5" s="309"/>
      <c r="V5" s="309"/>
      <c r="W5" s="309"/>
      <c r="X5" s="309"/>
      <c r="Y5" s="309"/>
      <c r="Z5" s="309"/>
      <c r="AA5" s="309"/>
      <c r="AB5" s="309"/>
      <c r="AC5" s="309"/>
      <c r="AD5" s="309"/>
      <c r="AE5" s="309"/>
      <c r="AF5" s="309"/>
      <c r="AG5" s="309"/>
      <c r="AH5" s="309"/>
      <c r="AI5" s="309"/>
      <c r="AJ5" s="309"/>
      <c r="AK5" s="309"/>
      <c r="AL5" s="309"/>
      <c r="AM5" s="309"/>
      <c r="AN5" s="309"/>
      <c r="AO5" s="309"/>
      <c r="AP5" s="309"/>
      <c r="AQ5" s="309"/>
      <c r="AR5" s="309"/>
      <c r="AS5" s="309"/>
      <c r="AT5" s="309"/>
      <c r="AU5" s="309"/>
      <c r="AV5" s="309"/>
      <c r="AW5" s="309"/>
      <c r="AX5" s="309"/>
      <c r="AY5" s="309"/>
      <c r="AZ5" s="309"/>
      <c r="BA5" s="309"/>
      <c r="BB5" s="309"/>
      <c r="BC5" s="309"/>
      <c r="BD5" s="310" t="s">
        <v>1733</v>
      </c>
      <c r="BE5" s="309"/>
      <c r="BF5" s="309"/>
      <c r="BG5" s="309"/>
      <c r="BH5" s="309"/>
      <c r="BI5" s="309"/>
      <c r="BJ5" s="309"/>
      <c r="BK5" s="309"/>
      <c r="BL5" s="309"/>
      <c r="BM5" s="309"/>
      <c r="BN5" s="309"/>
      <c r="BO5" s="309"/>
      <c r="BP5" s="309"/>
      <c r="BQ5" s="309"/>
      <c r="BR5" s="309"/>
      <c r="BS5" s="309"/>
      <c r="BT5" s="309"/>
      <c r="BU5" s="309"/>
      <c r="BV5" s="309"/>
      <c r="BW5" s="309"/>
      <c r="BX5" s="309"/>
      <c r="BY5" s="309"/>
      <c r="BZ5" s="309"/>
      <c r="CA5" s="309"/>
      <c r="CB5" s="309"/>
      <c r="CC5" s="311" t="s">
        <v>1734</v>
      </c>
      <c r="CD5" s="312"/>
      <c r="CE5" s="312"/>
      <c r="CF5" s="312"/>
      <c r="CG5" s="312"/>
      <c r="CH5" s="312"/>
      <c r="CI5" s="312"/>
      <c r="CJ5" s="312"/>
      <c r="CK5" s="312"/>
      <c r="CL5" s="311" t="s">
        <v>1734</v>
      </c>
      <c r="CM5" s="312"/>
      <c r="CN5" s="312"/>
      <c r="CO5" s="312"/>
      <c r="CP5" s="312"/>
      <c r="CQ5" s="312"/>
      <c r="CR5" s="312"/>
      <c r="CS5" s="312"/>
      <c r="CT5" s="312"/>
      <c r="CU5" s="312"/>
      <c r="CV5" s="312"/>
    </row>
    <row r="6" spans="2:100">
      <c r="B6" s="309" t="s">
        <v>570</v>
      </c>
      <c r="C6" s="309"/>
      <c r="D6" s="309"/>
      <c r="E6" s="309"/>
      <c r="F6" s="309"/>
      <c r="G6" s="309"/>
      <c r="H6" s="309"/>
      <c r="I6" s="309"/>
      <c r="J6" s="309"/>
      <c r="K6" s="309"/>
      <c r="L6" s="309"/>
      <c r="M6" s="309"/>
      <c r="N6" s="309"/>
      <c r="O6" s="309"/>
      <c r="P6" s="309"/>
      <c r="Q6" s="309"/>
      <c r="R6" s="309"/>
      <c r="S6" s="309"/>
      <c r="T6" s="309"/>
      <c r="U6" s="309"/>
      <c r="V6" s="309"/>
      <c r="W6" s="309"/>
      <c r="X6" s="309"/>
      <c r="Y6" s="309"/>
      <c r="Z6" s="309"/>
      <c r="AA6" s="309"/>
      <c r="AB6" s="309"/>
      <c r="AC6" s="309"/>
      <c r="AD6" s="309"/>
      <c r="AE6" s="309"/>
      <c r="AF6" s="309"/>
      <c r="AG6" s="309"/>
      <c r="AH6" s="309"/>
      <c r="AI6" s="309"/>
      <c r="AJ6" s="309"/>
      <c r="AK6" s="309"/>
      <c r="AL6" s="309"/>
      <c r="AM6" s="309"/>
      <c r="AN6" s="309"/>
      <c r="AO6" s="309"/>
      <c r="AP6" s="309"/>
      <c r="AQ6" s="309"/>
      <c r="AR6" s="309"/>
      <c r="AS6" s="309"/>
      <c r="AT6" s="309"/>
      <c r="AU6" s="309"/>
      <c r="AV6" s="309"/>
      <c r="AW6" s="309"/>
      <c r="AX6" s="309"/>
      <c r="AY6" s="309"/>
      <c r="AZ6" s="309"/>
      <c r="BA6" s="309"/>
      <c r="BB6" s="309"/>
      <c r="BC6" s="309"/>
      <c r="BD6" s="309"/>
      <c r="BE6" s="309"/>
      <c r="BF6" s="309"/>
      <c r="BG6" s="309"/>
      <c r="BH6" s="309"/>
      <c r="BI6" s="309"/>
      <c r="BJ6" s="309"/>
      <c r="BK6" s="309"/>
      <c r="BL6" s="309"/>
      <c r="BM6" s="309"/>
      <c r="BN6" s="309"/>
      <c r="BO6" s="309"/>
      <c r="BP6" s="309"/>
      <c r="BQ6" s="309"/>
      <c r="BR6" s="309"/>
      <c r="BS6" s="309"/>
      <c r="BT6" s="309"/>
      <c r="BU6" s="309"/>
      <c r="BV6" s="309"/>
      <c r="BW6" s="309"/>
      <c r="BX6" s="309"/>
      <c r="BY6" s="309"/>
      <c r="BZ6" s="309"/>
      <c r="CA6" s="309"/>
      <c r="CB6" s="309"/>
      <c r="CC6" s="309"/>
      <c r="CD6" s="309"/>
      <c r="CE6" s="309"/>
      <c r="CF6" s="309"/>
      <c r="CG6" s="309"/>
      <c r="CH6" s="309"/>
      <c r="CI6" s="309"/>
      <c r="CJ6" s="309"/>
      <c r="CK6" s="309"/>
      <c r="CL6" s="309"/>
      <c r="CM6" s="309"/>
      <c r="CN6" s="309"/>
      <c r="CO6" s="309"/>
      <c r="CP6" s="309"/>
      <c r="CQ6" s="309"/>
      <c r="CR6" s="309"/>
      <c r="CS6" s="309"/>
      <c r="CT6" s="309"/>
      <c r="CU6" s="309"/>
      <c r="CV6" s="309"/>
    </row>
    <row r="7" spans="2:100" ht="9.6" customHeight="1" thickBot="1">
      <c r="B7" s="150"/>
      <c r="C7" s="151"/>
      <c r="D7" s="151"/>
      <c r="E7" s="151"/>
      <c r="F7" s="151"/>
      <c r="G7" s="151"/>
      <c r="H7" s="151"/>
      <c r="I7" s="151"/>
      <c r="J7" s="151"/>
      <c r="K7" s="151"/>
      <c r="L7" s="151"/>
      <c r="M7" s="151"/>
      <c r="N7" s="151"/>
      <c r="O7" s="151"/>
      <c r="P7" s="151"/>
      <c r="Q7" s="151"/>
      <c r="R7" s="151"/>
      <c r="S7" s="151"/>
      <c r="T7" s="151"/>
      <c r="U7" s="151"/>
      <c r="V7" s="151"/>
      <c r="W7" s="151"/>
      <c r="X7" s="151"/>
      <c r="Y7" s="151"/>
      <c r="Z7" s="151"/>
      <c r="AA7" s="151"/>
      <c r="AB7" s="151"/>
      <c r="AC7" s="151"/>
      <c r="AD7" s="151"/>
      <c r="AE7" s="151"/>
      <c r="AF7" s="151"/>
      <c r="AG7" s="151"/>
      <c r="AH7" s="151"/>
      <c r="AI7" s="151"/>
      <c r="AJ7" s="151"/>
      <c r="AK7" s="151"/>
      <c r="AL7" s="151"/>
      <c r="AM7" s="151"/>
      <c r="AN7" s="151"/>
      <c r="AO7" s="151"/>
      <c r="AP7" s="151"/>
      <c r="AQ7" s="151"/>
      <c r="AR7" s="151"/>
      <c r="AS7" s="151"/>
      <c r="AT7" s="151"/>
      <c r="AU7" s="151"/>
      <c r="AV7" s="151"/>
      <c r="AW7" s="151"/>
      <c r="AX7" s="151"/>
      <c r="AY7" s="151"/>
      <c r="AZ7" s="151"/>
      <c r="BA7" s="151"/>
      <c r="BB7" s="151"/>
      <c r="BC7" s="151"/>
      <c r="BD7" s="151"/>
      <c r="BE7" s="151"/>
      <c r="BF7" s="151"/>
      <c r="BG7" s="151"/>
      <c r="BH7" s="151"/>
      <c r="BI7" s="151"/>
      <c r="BJ7" s="151"/>
      <c r="BK7" s="151"/>
      <c r="BL7" s="151"/>
      <c r="BM7" s="151"/>
      <c r="BN7" s="151"/>
      <c r="BO7" s="151"/>
      <c r="BP7" s="151"/>
      <c r="BQ7" s="151"/>
      <c r="BR7" s="151"/>
      <c r="BS7" s="151"/>
      <c r="BT7" s="151"/>
      <c r="BU7" s="151"/>
      <c r="BV7" s="151"/>
      <c r="BW7" s="151"/>
      <c r="BX7" s="151"/>
      <c r="BY7" s="151"/>
      <c r="BZ7" s="151"/>
      <c r="CA7" s="151"/>
      <c r="CB7" s="151"/>
      <c r="CC7" s="151"/>
      <c r="CD7" s="151"/>
      <c r="CE7" s="151"/>
      <c r="CF7" s="151"/>
      <c r="CG7" s="151"/>
      <c r="CH7" s="151"/>
      <c r="CI7" s="151"/>
      <c r="CJ7" s="151"/>
      <c r="CK7" s="151"/>
      <c r="CL7" s="151"/>
      <c r="CM7" s="151"/>
      <c r="CN7" s="151"/>
      <c r="CO7" s="151"/>
      <c r="CP7" s="151"/>
      <c r="CQ7" s="151"/>
      <c r="CR7" s="151"/>
      <c r="CS7" s="151"/>
      <c r="CT7" s="151"/>
      <c r="CU7" s="151"/>
      <c r="CV7" s="151"/>
    </row>
    <row r="8" spans="2:100" ht="9.75" customHeight="1">
      <c r="B8" s="166"/>
      <c r="C8" s="167"/>
      <c r="D8" s="167"/>
      <c r="E8" s="167"/>
      <c r="F8" s="167"/>
      <c r="G8" s="167"/>
      <c r="H8" s="167"/>
      <c r="I8" s="167"/>
      <c r="J8" s="167"/>
      <c r="K8" s="167"/>
      <c r="L8" s="167"/>
      <c r="M8" s="167"/>
      <c r="N8" s="167"/>
      <c r="O8" s="167"/>
      <c r="P8" s="167"/>
      <c r="Q8" s="167"/>
      <c r="R8" s="167"/>
      <c r="S8" s="167"/>
      <c r="T8" s="167"/>
      <c r="U8" s="167"/>
      <c r="V8" s="167"/>
      <c r="W8" s="167"/>
      <c r="X8" s="167"/>
      <c r="Y8" s="167"/>
      <c r="Z8" s="167"/>
      <c r="AA8" s="167"/>
      <c r="AB8" s="167"/>
      <c r="AC8" s="167"/>
      <c r="AD8" s="167"/>
      <c r="AE8" s="167"/>
      <c r="AF8" s="167"/>
      <c r="AG8" s="167"/>
      <c r="AH8" s="167"/>
      <c r="AI8" s="167"/>
      <c r="AJ8" s="167"/>
      <c r="AK8" s="167"/>
      <c r="AL8" s="167"/>
      <c r="AM8" s="167"/>
      <c r="AN8" s="167"/>
      <c r="AO8" s="167"/>
      <c r="AP8" s="167"/>
      <c r="AQ8" s="167"/>
      <c r="AR8" s="167"/>
      <c r="AS8" s="167"/>
      <c r="AT8" s="167"/>
      <c r="AU8" s="167"/>
      <c r="AV8" s="167"/>
      <c r="AW8" s="167"/>
      <c r="AX8" s="167"/>
      <c r="AY8" s="167"/>
      <c r="AZ8" s="167"/>
      <c r="BA8" s="167"/>
      <c r="BB8" s="167"/>
      <c r="BC8" s="167"/>
      <c r="BD8" s="167"/>
      <c r="BE8" s="167"/>
      <c r="BF8" s="167"/>
      <c r="BG8" s="167"/>
      <c r="BH8" s="167"/>
      <c r="BI8" s="167"/>
      <c r="BJ8" s="167"/>
      <c r="BK8" s="167"/>
      <c r="BL8" s="167"/>
      <c r="BM8" s="167"/>
      <c r="BN8" s="167"/>
      <c r="BO8" s="167"/>
      <c r="BP8" s="167"/>
      <c r="BQ8" s="168"/>
      <c r="BR8" s="168"/>
      <c r="BS8" s="168"/>
      <c r="BT8" s="168"/>
      <c r="BU8" s="168"/>
      <c r="BV8" s="168"/>
      <c r="BW8" s="168"/>
      <c r="BX8" s="168"/>
      <c r="BY8" s="168"/>
      <c r="BZ8" s="168"/>
      <c r="CA8" s="168"/>
      <c r="CB8" s="168"/>
      <c r="CC8" s="168"/>
      <c r="CD8" s="168"/>
      <c r="CE8" s="168"/>
      <c r="CF8" s="168"/>
      <c r="CG8" s="168"/>
      <c r="CH8" s="168"/>
      <c r="CI8" s="168"/>
      <c r="CJ8" s="168"/>
      <c r="CK8" s="168"/>
      <c r="CL8" s="168"/>
      <c r="CM8" s="168"/>
      <c r="CN8" s="168"/>
      <c r="CO8" s="168"/>
      <c r="CP8" s="168"/>
      <c r="CQ8" s="168"/>
      <c r="CR8" s="168"/>
      <c r="CS8" s="168"/>
      <c r="CT8" s="168"/>
      <c r="CU8" s="168"/>
      <c r="CV8" s="169"/>
    </row>
    <row r="9" spans="2:100" ht="21" customHeight="1">
      <c r="B9" s="170"/>
      <c r="C9" s="279" t="s">
        <v>1749</v>
      </c>
      <c r="D9" s="280"/>
      <c r="E9" s="280"/>
      <c r="F9" s="280"/>
      <c r="G9" s="280"/>
      <c r="H9" s="280"/>
      <c r="I9" s="280"/>
      <c r="J9" s="280"/>
      <c r="K9" s="280"/>
      <c r="L9" s="280"/>
      <c r="M9" s="280"/>
      <c r="N9" s="280"/>
      <c r="O9" s="280"/>
      <c r="P9" s="280"/>
      <c r="Q9" s="280"/>
      <c r="R9" s="280"/>
      <c r="S9" s="280"/>
      <c r="T9" s="280"/>
      <c r="U9" s="280"/>
      <c r="V9" s="280"/>
      <c r="W9" s="280"/>
      <c r="X9" s="280"/>
      <c r="Y9" s="281"/>
      <c r="Z9" s="281"/>
      <c r="AA9" s="281"/>
      <c r="AB9" s="281"/>
      <c r="AC9" s="281"/>
      <c r="AD9" s="281"/>
      <c r="AE9" s="281"/>
      <c r="AF9" s="281"/>
      <c r="AG9" s="281"/>
      <c r="AH9" s="281"/>
      <c r="AI9" s="281"/>
      <c r="AJ9" s="281"/>
      <c r="AK9" s="281"/>
      <c r="AL9" s="281"/>
      <c r="AM9" s="281"/>
      <c r="AN9" s="281"/>
      <c r="AO9" s="281"/>
      <c r="AP9" s="281"/>
      <c r="AQ9" s="281"/>
      <c r="AR9" s="281"/>
      <c r="AS9" s="281"/>
      <c r="AT9" s="281"/>
      <c r="AU9" s="281"/>
      <c r="AV9" s="281"/>
      <c r="AW9" s="281"/>
      <c r="AX9" s="281"/>
      <c r="AY9" s="281"/>
      <c r="AZ9" s="281"/>
      <c r="BA9" s="281"/>
      <c r="BB9" s="281"/>
      <c r="BC9" s="281"/>
      <c r="BD9" s="281"/>
      <c r="BE9" s="281"/>
      <c r="BF9" s="281"/>
      <c r="BG9" s="281"/>
      <c r="BH9" s="281"/>
      <c r="BI9" s="281"/>
      <c r="BJ9" s="281"/>
      <c r="BK9" s="281"/>
      <c r="BL9" s="281"/>
      <c r="BM9" s="281"/>
      <c r="BN9" s="281"/>
      <c r="BO9" s="281"/>
      <c r="BP9" s="281"/>
      <c r="BQ9" s="281"/>
      <c r="BR9" s="281"/>
      <c r="BS9" s="171"/>
      <c r="BT9" s="307"/>
      <c r="BU9" s="308"/>
      <c r="BV9" s="308"/>
      <c r="BW9" s="308"/>
      <c r="BX9" s="308"/>
      <c r="BY9" s="308"/>
      <c r="BZ9" s="308"/>
      <c r="CA9" s="308"/>
      <c r="CB9" s="308"/>
      <c r="CC9" s="308"/>
      <c r="CD9" s="308"/>
      <c r="CE9" s="172"/>
      <c r="CF9" s="172"/>
      <c r="CG9" s="172"/>
      <c r="CH9" s="172"/>
      <c r="CI9" s="172"/>
      <c r="CJ9" s="172"/>
      <c r="CK9" s="172"/>
      <c r="CL9" s="172"/>
      <c r="CM9" s="172"/>
      <c r="CN9" s="172"/>
      <c r="CO9" s="172"/>
      <c r="CP9" s="172"/>
      <c r="CQ9" s="172"/>
      <c r="CR9" s="172"/>
      <c r="CS9" s="172"/>
      <c r="CT9" s="172"/>
      <c r="CU9" s="172"/>
      <c r="CV9" s="173"/>
    </row>
    <row r="10" spans="2:100" ht="21" customHeight="1">
      <c r="B10" s="170"/>
      <c r="C10" s="302" t="s">
        <v>1735</v>
      </c>
      <c r="D10" s="303"/>
      <c r="E10" s="303"/>
      <c r="F10" s="303"/>
      <c r="G10" s="303"/>
      <c r="H10" s="303"/>
      <c r="I10" s="303"/>
      <c r="J10" s="303"/>
      <c r="K10" s="303"/>
      <c r="L10" s="303"/>
      <c r="M10" s="303"/>
      <c r="N10" s="303"/>
      <c r="O10" s="298" t="s">
        <v>1751</v>
      </c>
      <c r="P10" s="299"/>
      <c r="Q10" s="299"/>
      <c r="R10" s="299"/>
      <c r="S10" s="299"/>
      <c r="T10" s="299"/>
      <c r="U10" s="299"/>
      <c r="V10" s="299"/>
      <c r="W10" s="299"/>
      <c r="X10" s="299"/>
      <c r="Y10" s="299"/>
      <c r="Z10" s="299"/>
      <c r="AA10" s="299"/>
      <c r="AB10" s="299"/>
      <c r="AC10" s="299"/>
      <c r="AD10" s="299"/>
      <c r="AE10" s="299"/>
      <c r="AF10" s="299"/>
      <c r="AG10" s="299"/>
      <c r="AH10" s="299"/>
      <c r="AI10" s="299"/>
      <c r="AJ10" s="299"/>
      <c r="AK10" s="299"/>
      <c r="AL10" s="299"/>
      <c r="AM10" s="299"/>
      <c r="AN10" s="299"/>
      <c r="AO10" s="299"/>
      <c r="AP10" s="299"/>
      <c r="AQ10" s="299"/>
      <c r="AR10" s="299"/>
      <c r="AS10" s="299"/>
      <c r="AT10" s="299"/>
      <c r="AU10" s="299"/>
      <c r="AV10" s="299"/>
      <c r="AW10" s="299"/>
      <c r="AX10" s="299"/>
      <c r="AY10" s="299"/>
      <c r="AZ10" s="299"/>
      <c r="BA10" s="299"/>
      <c r="BB10" s="299"/>
      <c r="BC10" s="299"/>
      <c r="BD10" s="299"/>
      <c r="BE10" s="299"/>
      <c r="BF10" s="299"/>
      <c r="BG10" s="299"/>
      <c r="BH10" s="299"/>
      <c r="BI10" s="299"/>
      <c r="BJ10" s="299"/>
      <c r="BK10" s="299"/>
      <c r="BL10" s="299"/>
      <c r="BM10" s="299"/>
      <c r="BN10" s="299"/>
      <c r="BO10" s="299"/>
      <c r="BP10" s="299"/>
      <c r="BQ10" s="299"/>
      <c r="BR10" s="299"/>
      <c r="BS10" s="297" t="s">
        <v>1739</v>
      </c>
      <c r="BT10" s="297"/>
      <c r="BU10" s="297"/>
      <c r="BV10" s="297"/>
      <c r="BW10" s="297"/>
      <c r="BX10" s="297"/>
      <c r="BY10" s="297"/>
      <c r="BZ10" s="297"/>
      <c r="CA10" s="297"/>
      <c r="CB10" s="300" t="s">
        <v>3</v>
      </c>
      <c r="CC10" s="297"/>
      <c r="CD10" s="297"/>
      <c r="CE10" s="297"/>
      <c r="CF10" s="297"/>
      <c r="CG10" s="297"/>
      <c r="CH10" s="297"/>
      <c r="CI10" s="297"/>
      <c r="CJ10" s="297"/>
      <c r="CK10" s="297"/>
      <c r="CL10" s="297"/>
      <c r="CM10" s="297"/>
      <c r="CN10" s="297"/>
      <c r="CO10" s="297"/>
      <c r="CP10" s="297"/>
      <c r="CQ10" s="297"/>
      <c r="CR10" s="297"/>
      <c r="CS10" s="297"/>
      <c r="CT10" s="297"/>
      <c r="CU10" s="297"/>
      <c r="CV10" s="173"/>
    </row>
    <row r="11" spans="2:100" ht="21.75" customHeight="1">
      <c r="B11" s="174"/>
      <c r="C11" s="294" t="s">
        <v>571</v>
      </c>
      <c r="D11" s="295"/>
      <c r="E11" s="295"/>
      <c r="F11" s="295"/>
      <c r="G11" s="295"/>
      <c r="H11" s="295"/>
      <c r="I11" s="296" t="s">
        <v>1752</v>
      </c>
      <c r="J11" s="187"/>
      <c r="K11" s="187"/>
      <c r="L11" s="187"/>
      <c r="M11" s="187"/>
      <c r="N11" s="187"/>
      <c r="O11" s="187"/>
      <c r="P11" s="187"/>
      <c r="Q11" s="187"/>
      <c r="R11" s="187"/>
      <c r="S11" s="187"/>
      <c r="T11" s="187"/>
      <c r="U11" s="187"/>
      <c r="V11" s="187"/>
      <c r="W11" s="187"/>
      <c r="X11" s="187"/>
      <c r="Y11" s="294" t="s">
        <v>572</v>
      </c>
      <c r="Z11" s="295"/>
      <c r="AA11" s="295"/>
      <c r="AB11" s="295"/>
      <c r="AC11" s="295"/>
      <c r="AD11" s="295"/>
      <c r="AE11" s="296" t="s">
        <v>1753</v>
      </c>
      <c r="AF11" s="187"/>
      <c r="AG11" s="187"/>
      <c r="AH11" s="187"/>
      <c r="AI11" s="187"/>
      <c r="AJ11" s="187"/>
      <c r="AK11" s="187"/>
      <c r="AL11" s="187"/>
      <c r="AM11" s="187"/>
      <c r="AN11" s="187"/>
      <c r="AO11" s="187"/>
      <c r="AP11" s="187"/>
      <c r="AQ11" s="187"/>
      <c r="AR11" s="187"/>
      <c r="AS11" s="187"/>
      <c r="AT11" s="187"/>
      <c r="AU11" s="294" t="s">
        <v>1748</v>
      </c>
      <c r="AV11" s="295"/>
      <c r="AW11" s="295"/>
      <c r="AX11" s="295"/>
      <c r="AY11" s="295"/>
      <c r="AZ11" s="295"/>
      <c r="BA11" s="295"/>
      <c r="BB11" s="296" t="s">
        <v>1754</v>
      </c>
      <c r="BC11" s="187"/>
      <c r="BD11" s="187"/>
      <c r="BE11" s="187"/>
      <c r="BF11" s="187"/>
      <c r="BG11" s="187"/>
      <c r="BH11" s="187"/>
      <c r="BI11" s="187"/>
      <c r="BJ11" s="187"/>
      <c r="BK11" s="187"/>
      <c r="BL11" s="187"/>
      <c r="BM11" s="187"/>
      <c r="BN11" s="187"/>
      <c r="BO11" s="187"/>
      <c r="BP11" s="187"/>
      <c r="BQ11" s="187"/>
      <c r="BR11" s="187"/>
      <c r="BS11" s="298" t="s">
        <v>1755</v>
      </c>
      <c r="BT11" s="299"/>
      <c r="BU11" s="299"/>
      <c r="BV11" s="299"/>
      <c r="BW11" s="299"/>
      <c r="BX11" s="299"/>
      <c r="BY11" s="299"/>
      <c r="BZ11" s="299"/>
      <c r="CA11" s="299"/>
      <c r="CB11" s="301" t="s">
        <v>1756</v>
      </c>
      <c r="CC11" s="299"/>
      <c r="CD11" s="299"/>
      <c r="CE11" s="299"/>
      <c r="CF11" s="299"/>
      <c r="CG11" s="299"/>
      <c r="CH11" s="299"/>
      <c r="CI11" s="299"/>
      <c r="CJ11" s="299"/>
      <c r="CK11" s="299"/>
      <c r="CL11" s="299"/>
      <c r="CM11" s="299"/>
      <c r="CN11" s="299"/>
      <c r="CO11" s="299"/>
      <c r="CP11" s="299"/>
      <c r="CQ11" s="299"/>
      <c r="CR11" s="299"/>
      <c r="CS11" s="299"/>
      <c r="CT11" s="299"/>
      <c r="CU11" s="299"/>
      <c r="CV11" s="175"/>
    </row>
    <row r="12" spans="2:100" ht="21.75" customHeight="1">
      <c r="B12" s="174"/>
      <c r="C12" s="282" t="s">
        <v>1750</v>
      </c>
      <c r="D12" s="283"/>
      <c r="E12" s="283"/>
      <c r="F12" s="283"/>
      <c r="G12" s="283"/>
      <c r="H12" s="283"/>
      <c r="I12" s="283"/>
      <c r="J12" s="283"/>
      <c r="K12" s="283"/>
      <c r="L12" s="283"/>
      <c r="M12" s="283"/>
      <c r="N12" s="283"/>
      <c r="O12" s="283"/>
      <c r="P12" s="283"/>
      <c r="Q12" s="283"/>
      <c r="R12" s="283"/>
      <c r="S12" s="283"/>
      <c r="T12" s="283"/>
      <c r="U12" s="283"/>
      <c r="V12" s="283"/>
      <c r="W12" s="283"/>
      <c r="X12" s="283"/>
      <c r="Y12" s="283"/>
      <c r="Z12" s="283"/>
      <c r="AA12" s="283"/>
      <c r="AB12" s="283"/>
      <c r="AC12" s="283"/>
      <c r="AD12" s="283"/>
      <c r="AE12" s="283"/>
      <c r="AF12" s="283"/>
      <c r="AG12" s="283"/>
      <c r="AH12" s="283"/>
      <c r="AI12" s="283"/>
      <c r="AJ12" s="283"/>
      <c r="AK12" s="283"/>
      <c r="AL12" s="283"/>
      <c r="AM12" s="283"/>
      <c r="AN12" s="283"/>
      <c r="AO12" s="283"/>
      <c r="AP12" s="283"/>
      <c r="AQ12" s="283"/>
      <c r="AR12" s="283"/>
      <c r="AS12" s="283"/>
      <c r="AT12" s="283"/>
      <c r="AU12" s="283"/>
      <c r="AV12" s="283"/>
      <c r="AW12" s="283"/>
      <c r="AX12" s="283"/>
      <c r="AY12" s="283"/>
      <c r="AZ12" s="283"/>
      <c r="BA12" s="283"/>
      <c r="BB12" s="283"/>
      <c r="BC12" s="283"/>
      <c r="BD12" s="283"/>
      <c r="BE12" s="283"/>
      <c r="BF12" s="283"/>
      <c r="BG12" s="283"/>
      <c r="BH12" s="283"/>
      <c r="BI12" s="283"/>
      <c r="BJ12" s="283"/>
      <c r="BK12" s="283"/>
      <c r="BL12" s="283"/>
      <c r="BM12" s="283"/>
      <c r="BN12" s="283"/>
      <c r="BO12" s="284"/>
      <c r="BP12" s="284"/>
      <c r="BQ12" s="284"/>
      <c r="BR12" s="284"/>
      <c r="BS12" s="176"/>
      <c r="BT12" s="177"/>
      <c r="BU12" s="177"/>
      <c r="BV12" s="177"/>
      <c r="BW12" s="177"/>
      <c r="BX12" s="177"/>
      <c r="BY12" s="177"/>
      <c r="BZ12" s="177"/>
      <c r="CA12" s="177"/>
      <c r="CB12" s="177"/>
      <c r="CC12" s="177"/>
      <c r="CD12" s="177"/>
      <c r="CE12" s="177"/>
      <c r="CF12" s="177"/>
      <c r="CG12" s="177"/>
      <c r="CH12" s="177"/>
      <c r="CI12" s="177"/>
      <c r="CJ12" s="177"/>
      <c r="CK12" s="177"/>
      <c r="CL12" s="177"/>
      <c r="CM12" s="177"/>
      <c r="CN12" s="177"/>
      <c r="CO12" s="177"/>
      <c r="CP12" s="177"/>
      <c r="CQ12" s="177"/>
      <c r="CR12" s="172"/>
      <c r="CS12" s="172"/>
      <c r="CT12" s="172"/>
      <c r="CU12" s="178"/>
      <c r="CV12" s="175"/>
    </row>
    <row r="13" spans="2:100" ht="21.75" customHeight="1">
      <c r="B13" s="174"/>
      <c r="C13" s="287" t="s">
        <v>1757</v>
      </c>
      <c r="D13" s="293"/>
      <c r="E13" s="293"/>
      <c r="F13" s="293"/>
      <c r="G13" s="293"/>
      <c r="H13" s="293"/>
      <c r="I13" s="293"/>
      <c r="J13" s="293"/>
      <c r="K13" s="293"/>
      <c r="L13" s="293"/>
      <c r="M13" s="293"/>
      <c r="N13" s="293"/>
      <c r="O13" s="293"/>
      <c r="P13" s="293"/>
      <c r="Q13" s="293"/>
      <c r="R13" s="293"/>
      <c r="S13" s="293"/>
      <c r="T13" s="293"/>
      <c r="U13" s="293"/>
      <c r="V13" s="293"/>
      <c r="W13" s="293"/>
      <c r="X13" s="293"/>
      <c r="Y13" s="293"/>
      <c r="Z13" s="293"/>
      <c r="AA13" s="293"/>
      <c r="AB13" s="293"/>
      <c r="AC13" s="293"/>
      <c r="AD13" s="293"/>
      <c r="AE13" s="293"/>
      <c r="AF13" s="293"/>
      <c r="AG13" s="293"/>
      <c r="AH13" s="293"/>
      <c r="AI13" s="293"/>
      <c r="AJ13" s="293"/>
      <c r="AK13" s="293"/>
      <c r="AL13" s="293"/>
      <c r="AM13" s="293"/>
      <c r="AN13" s="293"/>
      <c r="AO13" s="293"/>
      <c r="AP13" s="293"/>
      <c r="AQ13" s="293"/>
      <c r="AR13" s="293"/>
      <c r="AS13" s="293"/>
      <c r="AT13" s="293"/>
      <c r="AU13" s="293"/>
      <c r="AV13" s="293"/>
      <c r="AW13" s="293"/>
      <c r="AX13" s="293"/>
      <c r="AY13" s="293"/>
      <c r="AZ13" s="293"/>
      <c r="BA13" s="293"/>
      <c r="BB13" s="293"/>
      <c r="BC13" s="293"/>
      <c r="BD13" s="293"/>
      <c r="BE13" s="293"/>
      <c r="BF13" s="293"/>
      <c r="BG13" s="293"/>
      <c r="BH13" s="293"/>
      <c r="BI13" s="293"/>
      <c r="BJ13" s="293"/>
      <c r="BK13" s="293"/>
      <c r="BL13" s="293"/>
      <c r="BM13" s="293"/>
      <c r="BN13" s="293"/>
      <c r="BO13" s="187"/>
      <c r="BP13" s="187"/>
      <c r="BQ13" s="187"/>
      <c r="BR13" s="187"/>
      <c r="BS13" s="187"/>
      <c r="BT13" s="187"/>
      <c r="BU13" s="187"/>
      <c r="BV13" s="187"/>
      <c r="BW13" s="187"/>
      <c r="BX13" s="187"/>
      <c r="BY13" s="187"/>
      <c r="BZ13" s="187"/>
      <c r="CA13" s="187"/>
      <c r="CB13" s="187"/>
      <c r="CC13" s="187"/>
      <c r="CD13" s="187"/>
      <c r="CE13" s="187"/>
      <c r="CF13" s="187"/>
      <c r="CG13" s="187"/>
      <c r="CH13" s="187"/>
      <c r="CI13" s="187"/>
      <c r="CJ13" s="187"/>
      <c r="CK13" s="187"/>
      <c r="CL13" s="187"/>
      <c r="CM13" s="187"/>
      <c r="CN13" s="187"/>
      <c r="CO13" s="187"/>
      <c r="CP13" s="187"/>
      <c r="CQ13" s="187"/>
      <c r="CR13" s="187"/>
      <c r="CS13" s="187"/>
      <c r="CT13" s="187"/>
      <c r="CU13" s="187"/>
      <c r="CV13" s="175"/>
    </row>
    <row r="14" spans="2:100" ht="21.75" customHeight="1">
      <c r="B14" s="174"/>
      <c r="C14" s="187"/>
      <c r="D14" s="187"/>
      <c r="E14" s="187"/>
      <c r="F14" s="187"/>
      <c r="G14" s="187"/>
      <c r="H14" s="187"/>
      <c r="I14" s="187"/>
      <c r="J14" s="187"/>
      <c r="K14" s="187"/>
      <c r="L14" s="187"/>
      <c r="M14" s="187"/>
      <c r="N14" s="187"/>
      <c r="O14" s="187"/>
      <c r="P14" s="187"/>
      <c r="Q14" s="187"/>
      <c r="R14" s="187"/>
      <c r="S14" s="187"/>
      <c r="T14" s="187"/>
      <c r="U14" s="187"/>
      <c r="V14" s="187"/>
      <c r="W14" s="187"/>
      <c r="X14" s="187"/>
      <c r="Y14" s="187"/>
      <c r="Z14" s="187"/>
      <c r="AA14" s="187"/>
      <c r="AB14" s="187"/>
      <c r="AC14" s="187"/>
      <c r="AD14" s="187"/>
      <c r="AE14" s="187"/>
      <c r="AF14" s="187"/>
      <c r="AG14" s="187"/>
      <c r="AH14" s="187"/>
      <c r="AI14" s="187"/>
      <c r="AJ14" s="187"/>
      <c r="AK14" s="187"/>
      <c r="AL14" s="187"/>
      <c r="AM14" s="187"/>
      <c r="AN14" s="187"/>
      <c r="AO14" s="187"/>
      <c r="AP14" s="187"/>
      <c r="AQ14" s="187"/>
      <c r="AR14" s="187"/>
      <c r="AS14" s="187"/>
      <c r="AT14" s="187"/>
      <c r="AU14" s="187"/>
      <c r="AV14" s="187"/>
      <c r="AW14" s="187"/>
      <c r="AX14" s="187"/>
      <c r="AY14" s="187"/>
      <c r="AZ14" s="187"/>
      <c r="BA14" s="187"/>
      <c r="BB14" s="187"/>
      <c r="BC14" s="187"/>
      <c r="BD14" s="187"/>
      <c r="BE14" s="187"/>
      <c r="BF14" s="187"/>
      <c r="BG14" s="187"/>
      <c r="BH14" s="187"/>
      <c r="BI14" s="187"/>
      <c r="BJ14" s="187"/>
      <c r="BK14" s="187"/>
      <c r="BL14" s="187"/>
      <c r="BM14" s="187"/>
      <c r="BN14" s="187"/>
      <c r="BO14" s="187"/>
      <c r="BP14" s="187"/>
      <c r="BQ14" s="187"/>
      <c r="BR14" s="187"/>
      <c r="BS14" s="187"/>
      <c r="BT14" s="187"/>
      <c r="BU14" s="187"/>
      <c r="BV14" s="187"/>
      <c r="BW14" s="187"/>
      <c r="BX14" s="187"/>
      <c r="BY14" s="187"/>
      <c r="BZ14" s="187"/>
      <c r="CA14" s="187"/>
      <c r="CB14" s="187"/>
      <c r="CC14" s="187"/>
      <c r="CD14" s="187"/>
      <c r="CE14" s="187"/>
      <c r="CF14" s="187"/>
      <c r="CG14" s="187"/>
      <c r="CH14" s="187"/>
      <c r="CI14" s="187"/>
      <c r="CJ14" s="187"/>
      <c r="CK14" s="187"/>
      <c r="CL14" s="187"/>
      <c r="CM14" s="187"/>
      <c r="CN14" s="187"/>
      <c r="CO14" s="187"/>
      <c r="CP14" s="187"/>
      <c r="CQ14" s="187"/>
      <c r="CR14" s="187"/>
      <c r="CS14" s="187"/>
      <c r="CT14" s="187"/>
      <c r="CU14" s="187"/>
      <c r="CV14" s="175"/>
    </row>
    <row r="15" spans="2:100" ht="21.75" customHeight="1">
      <c r="B15" s="174"/>
      <c r="C15" s="306" t="s">
        <v>1731</v>
      </c>
      <c r="D15" s="306"/>
      <c r="E15" s="306"/>
      <c r="F15" s="306"/>
      <c r="G15" s="306"/>
      <c r="H15" s="306"/>
      <c r="I15" s="306"/>
      <c r="J15" s="306"/>
      <c r="K15" s="306"/>
      <c r="L15" s="306"/>
      <c r="M15" s="306"/>
      <c r="N15" s="306"/>
      <c r="O15" s="306"/>
      <c r="P15" s="306"/>
      <c r="Q15" s="306"/>
      <c r="R15" s="306"/>
      <c r="S15" s="306"/>
      <c r="T15" s="306"/>
      <c r="U15" s="306"/>
      <c r="V15" s="306"/>
      <c r="W15" s="306"/>
      <c r="X15" s="306"/>
      <c r="Y15" s="306"/>
      <c r="Z15" s="306"/>
      <c r="AA15" s="306"/>
      <c r="AB15" s="306"/>
      <c r="AC15" s="306"/>
      <c r="AD15" s="306"/>
      <c r="AE15" s="306"/>
      <c r="AF15" s="306"/>
      <c r="AG15" s="306"/>
      <c r="AH15" s="306"/>
      <c r="AI15" s="306"/>
      <c r="AJ15" s="306"/>
      <c r="AK15" s="306"/>
      <c r="AL15" s="306"/>
      <c r="AM15" s="306"/>
      <c r="AN15" s="306"/>
      <c r="AO15" s="306"/>
      <c r="AP15" s="306"/>
      <c r="AQ15" s="306"/>
      <c r="AR15" s="306"/>
      <c r="AS15" s="306"/>
      <c r="AT15" s="306"/>
      <c r="AU15" s="306"/>
      <c r="AV15" s="306"/>
      <c r="AW15" s="306"/>
      <c r="AX15" s="306"/>
      <c r="AY15" s="306"/>
      <c r="AZ15" s="306"/>
      <c r="BA15" s="306"/>
      <c r="BB15" s="306"/>
      <c r="BC15" s="306"/>
      <c r="BD15" s="306"/>
      <c r="BE15" s="306"/>
      <c r="BF15" s="306"/>
      <c r="BG15" s="306"/>
      <c r="BH15" s="306"/>
      <c r="BI15" s="306"/>
      <c r="BJ15" s="306"/>
      <c r="BK15" s="306"/>
      <c r="BL15" s="306"/>
      <c r="BM15" s="306"/>
      <c r="BN15" s="306"/>
      <c r="BO15" s="178"/>
      <c r="BP15" s="172"/>
      <c r="BQ15" s="172"/>
      <c r="BR15" s="172"/>
      <c r="BS15" s="172"/>
      <c r="BT15" s="172"/>
      <c r="BU15" s="172"/>
      <c r="BV15" s="172"/>
      <c r="BW15" s="172"/>
      <c r="BX15" s="172"/>
      <c r="BY15" s="172"/>
      <c r="BZ15" s="172"/>
      <c r="CA15" s="172"/>
      <c r="CB15" s="172"/>
      <c r="CC15" s="172"/>
      <c r="CD15" s="172"/>
      <c r="CE15" s="172"/>
      <c r="CF15" s="172"/>
      <c r="CG15" s="172"/>
      <c r="CH15" s="172"/>
      <c r="CI15" s="172"/>
      <c r="CJ15" s="172"/>
      <c r="CK15" s="172"/>
      <c r="CL15" s="172"/>
      <c r="CM15" s="172"/>
      <c r="CN15" s="172"/>
      <c r="CO15" s="172"/>
      <c r="CP15" s="172"/>
      <c r="CQ15" s="172"/>
      <c r="CR15" s="172"/>
      <c r="CS15" s="172"/>
      <c r="CT15" s="172"/>
      <c r="CU15" s="172"/>
      <c r="CV15" s="175"/>
    </row>
    <row r="16" spans="2:100" ht="21.75" customHeight="1">
      <c r="B16" s="174"/>
      <c r="C16" s="296" t="s">
        <v>1758</v>
      </c>
      <c r="D16" s="187"/>
      <c r="E16" s="187"/>
      <c r="F16" s="187"/>
      <c r="G16" s="187"/>
      <c r="H16" s="187"/>
      <c r="I16" s="187"/>
      <c r="J16" s="187"/>
      <c r="K16" s="187"/>
      <c r="L16" s="187"/>
      <c r="M16" s="187"/>
      <c r="N16" s="187"/>
      <c r="O16" s="187"/>
      <c r="P16" s="187"/>
      <c r="Q16" s="187"/>
      <c r="R16" s="187"/>
      <c r="S16" s="187"/>
      <c r="T16" s="187"/>
      <c r="U16" s="187"/>
      <c r="V16" s="187"/>
      <c r="W16" s="187"/>
      <c r="X16" s="187"/>
      <c r="Y16" s="187"/>
      <c r="Z16" s="187"/>
      <c r="AA16" s="187"/>
      <c r="AB16" s="187"/>
      <c r="AC16" s="187"/>
      <c r="AD16" s="187"/>
      <c r="AE16" s="187"/>
      <c r="AF16" s="187"/>
      <c r="AG16" s="187"/>
      <c r="AH16" s="187"/>
      <c r="AI16" s="187"/>
      <c r="AJ16" s="187"/>
      <c r="AK16" s="187"/>
      <c r="AL16" s="187"/>
      <c r="AM16" s="187"/>
      <c r="AN16" s="187"/>
      <c r="AO16" s="187"/>
      <c r="AP16" s="187"/>
      <c r="AQ16" s="187"/>
      <c r="AR16" s="187"/>
      <c r="AS16" s="187"/>
      <c r="AT16" s="187"/>
      <c r="AU16" s="187"/>
      <c r="AV16" s="187"/>
      <c r="AW16" s="187"/>
      <c r="AX16" s="187"/>
      <c r="AY16" s="187"/>
      <c r="AZ16" s="187"/>
      <c r="BA16" s="187"/>
      <c r="BB16" s="187"/>
      <c r="BC16" s="187"/>
      <c r="BD16" s="187"/>
      <c r="BE16" s="187"/>
      <c r="BF16" s="187"/>
      <c r="BG16" s="187"/>
      <c r="BH16" s="187"/>
      <c r="BI16" s="187"/>
      <c r="BJ16" s="187"/>
      <c r="BK16" s="187"/>
      <c r="BL16" s="187"/>
      <c r="BM16" s="187"/>
      <c r="BN16" s="187"/>
      <c r="BO16" s="187"/>
      <c r="BP16" s="187"/>
      <c r="BQ16" s="187"/>
      <c r="BR16" s="187"/>
      <c r="BS16" s="187"/>
      <c r="BT16" s="187"/>
      <c r="BU16" s="187"/>
      <c r="BV16" s="187"/>
      <c r="BW16" s="187"/>
      <c r="BX16" s="187"/>
      <c r="BY16" s="187"/>
      <c r="BZ16" s="187"/>
      <c r="CA16" s="187"/>
      <c r="CB16" s="187"/>
      <c r="CC16" s="187"/>
      <c r="CD16" s="187"/>
      <c r="CE16" s="187"/>
      <c r="CF16" s="187"/>
      <c r="CG16" s="187"/>
      <c r="CH16" s="187"/>
      <c r="CI16" s="187"/>
      <c r="CJ16" s="187"/>
      <c r="CK16" s="187"/>
      <c r="CL16" s="187"/>
      <c r="CM16" s="187"/>
      <c r="CN16" s="187"/>
      <c r="CO16" s="187"/>
      <c r="CP16" s="187"/>
      <c r="CQ16" s="187"/>
      <c r="CR16" s="187"/>
      <c r="CS16" s="187"/>
      <c r="CT16" s="187"/>
      <c r="CU16" s="187"/>
      <c r="CV16" s="175"/>
    </row>
    <row r="17" spans="2:100" ht="21.75" customHeight="1">
      <c r="B17" s="174"/>
      <c r="C17" s="187"/>
      <c r="D17" s="187"/>
      <c r="E17" s="187"/>
      <c r="F17" s="187"/>
      <c r="G17" s="187"/>
      <c r="H17" s="187"/>
      <c r="I17" s="187"/>
      <c r="J17" s="187"/>
      <c r="K17" s="187"/>
      <c r="L17" s="187"/>
      <c r="M17" s="187"/>
      <c r="N17" s="187"/>
      <c r="O17" s="187"/>
      <c r="P17" s="187"/>
      <c r="Q17" s="187"/>
      <c r="R17" s="187"/>
      <c r="S17" s="187"/>
      <c r="T17" s="187"/>
      <c r="U17" s="187"/>
      <c r="V17" s="187"/>
      <c r="W17" s="187"/>
      <c r="X17" s="187"/>
      <c r="Y17" s="187"/>
      <c r="Z17" s="187"/>
      <c r="AA17" s="187"/>
      <c r="AB17" s="187"/>
      <c r="AC17" s="187"/>
      <c r="AD17" s="187"/>
      <c r="AE17" s="187"/>
      <c r="AF17" s="187"/>
      <c r="AG17" s="187"/>
      <c r="AH17" s="187"/>
      <c r="AI17" s="187"/>
      <c r="AJ17" s="187"/>
      <c r="AK17" s="187"/>
      <c r="AL17" s="187"/>
      <c r="AM17" s="187"/>
      <c r="AN17" s="187"/>
      <c r="AO17" s="187"/>
      <c r="AP17" s="187"/>
      <c r="AQ17" s="187"/>
      <c r="AR17" s="187"/>
      <c r="AS17" s="187"/>
      <c r="AT17" s="187"/>
      <c r="AU17" s="187"/>
      <c r="AV17" s="187"/>
      <c r="AW17" s="187"/>
      <c r="AX17" s="187"/>
      <c r="AY17" s="187"/>
      <c r="AZ17" s="187"/>
      <c r="BA17" s="187"/>
      <c r="BB17" s="187"/>
      <c r="BC17" s="187"/>
      <c r="BD17" s="187"/>
      <c r="BE17" s="187"/>
      <c r="BF17" s="187"/>
      <c r="BG17" s="187"/>
      <c r="BH17" s="187"/>
      <c r="BI17" s="187"/>
      <c r="BJ17" s="187"/>
      <c r="BK17" s="187"/>
      <c r="BL17" s="187"/>
      <c r="BM17" s="187"/>
      <c r="BN17" s="187"/>
      <c r="BO17" s="187"/>
      <c r="BP17" s="187"/>
      <c r="BQ17" s="187"/>
      <c r="BR17" s="187"/>
      <c r="BS17" s="187"/>
      <c r="BT17" s="187"/>
      <c r="BU17" s="187"/>
      <c r="BV17" s="187"/>
      <c r="BW17" s="187"/>
      <c r="BX17" s="187"/>
      <c r="BY17" s="187"/>
      <c r="BZ17" s="187"/>
      <c r="CA17" s="187"/>
      <c r="CB17" s="187"/>
      <c r="CC17" s="187"/>
      <c r="CD17" s="187"/>
      <c r="CE17" s="187"/>
      <c r="CF17" s="187"/>
      <c r="CG17" s="187"/>
      <c r="CH17" s="187"/>
      <c r="CI17" s="187"/>
      <c r="CJ17" s="187"/>
      <c r="CK17" s="187"/>
      <c r="CL17" s="187"/>
      <c r="CM17" s="187"/>
      <c r="CN17" s="187"/>
      <c r="CO17" s="187"/>
      <c r="CP17" s="187"/>
      <c r="CQ17" s="187"/>
      <c r="CR17" s="187"/>
      <c r="CS17" s="187"/>
      <c r="CT17" s="187"/>
      <c r="CU17" s="187"/>
      <c r="CV17" s="175"/>
    </row>
    <row r="18" spans="2:100" ht="21.75" customHeight="1">
      <c r="B18" s="174"/>
      <c r="C18" s="187"/>
      <c r="D18" s="187"/>
      <c r="E18" s="187"/>
      <c r="F18" s="187"/>
      <c r="G18" s="187"/>
      <c r="H18" s="187"/>
      <c r="I18" s="187"/>
      <c r="J18" s="187"/>
      <c r="K18" s="187"/>
      <c r="L18" s="187"/>
      <c r="M18" s="187"/>
      <c r="N18" s="187"/>
      <c r="O18" s="187"/>
      <c r="P18" s="187"/>
      <c r="Q18" s="187"/>
      <c r="R18" s="187"/>
      <c r="S18" s="187"/>
      <c r="T18" s="187"/>
      <c r="U18" s="187"/>
      <c r="V18" s="187"/>
      <c r="W18" s="187"/>
      <c r="X18" s="187"/>
      <c r="Y18" s="187"/>
      <c r="Z18" s="187"/>
      <c r="AA18" s="187"/>
      <c r="AB18" s="187"/>
      <c r="AC18" s="187"/>
      <c r="AD18" s="187"/>
      <c r="AE18" s="187"/>
      <c r="AF18" s="187"/>
      <c r="AG18" s="187"/>
      <c r="AH18" s="187"/>
      <c r="AI18" s="187"/>
      <c r="AJ18" s="187"/>
      <c r="AK18" s="187"/>
      <c r="AL18" s="187"/>
      <c r="AM18" s="187"/>
      <c r="AN18" s="187"/>
      <c r="AO18" s="187"/>
      <c r="AP18" s="187"/>
      <c r="AQ18" s="187"/>
      <c r="AR18" s="187"/>
      <c r="AS18" s="187"/>
      <c r="AT18" s="187"/>
      <c r="AU18" s="187"/>
      <c r="AV18" s="187"/>
      <c r="AW18" s="187"/>
      <c r="AX18" s="187"/>
      <c r="AY18" s="187"/>
      <c r="AZ18" s="187"/>
      <c r="BA18" s="187"/>
      <c r="BB18" s="187"/>
      <c r="BC18" s="187"/>
      <c r="BD18" s="187"/>
      <c r="BE18" s="187"/>
      <c r="BF18" s="187"/>
      <c r="BG18" s="187"/>
      <c r="BH18" s="187"/>
      <c r="BI18" s="187"/>
      <c r="BJ18" s="187"/>
      <c r="BK18" s="187"/>
      <c r="BL18" s="187"/>
      <c r="BM18" s="187"/>
      <c r="BN18" s="187"/>
      <c r="BO18" s="187"/>
      <c r="BP18" s="187"/>
      <c r="BQ18" s="187"/>
      <c r="BR18" s="187"/>
      <c r="BS18" s="187"/>
      <c r="BT18" s="187"/>
      <c r="BU18" s="187"/>
      <c r="BV18" s="187"/>
      <c r="BW18" s="187"/>
      <c r="BX18" s="187"/>
      <c r="BY18" s="187"/>
      <c r="BZ18" s="187"/>
      <c r="CA18" s="187"/>
      <c r="CB18" s="187"/>
      <c r="CC18" s="187"/>
      <c r="CD18" s="187"/>
      <c r="CE18" s="187"/>
      <c r="CF18" s="187"/>
      <c r="CG18" s="187"/>
      <c r="CH18" s="187"/>
      <c r="CI18" s="187"/>
      <c r="CJ18" s="187"/>
      <c r="CK18" s="187"/>
      <c r="CL18" s="187"/>
      <c r="CM18" s="187"/>
      <c r="CN18" s="187"/>
      <c r="CO18" s="187"/>
      <c r="CP18" s="187"/>
      <c r="CQ18" s="187"/>
      <c r="CR18" s="187"/>
      <c r="CS18" s="187"/>
      <c r="CT18" s="187"/>
      <c r="CU18" s="187"/>
      <c r="CV18" s="175"/>
    </row>
    <row r="19" spans="2:100" ht="21.75" customHeight="1">
      <c r="B19" s="174"/>
      <c r="C19" s="306" t="s">
        <v>1732</v>
      </c>
      <c r="D19" s="306"/>
      <c r="E19" s="306"/>
      <c r="F19" s="306"/>
      <c r="G19" s="306"/>
      <c r="H19" s="306"/>
      <c r="I19" s="306"/>
      <c r="J19" s="306"/>
      <c r="K19" s="306"/>
      <c r="L19" s="306"/>
      <c r="M19" s="306"/>
      <c r="N19" s="306"/>
      <c r="O19" s="306"/>
      <c r="P19" s="306"/>
      <c r="Q19" s="306"/>
      <c r="R19" s="306"/>
      <c r="S19" s="306"/>
      <c r="T19" s="306"/>
      <c r="U19" s="306"/>
      <c r="V19" s="306"/>
      <c r="W19" s="306"/>
      <c r="X19" s="306"/>
      <c r="Y19" s="306"/>
      <c r="Z19" s="306"/>
      <c r="AA19" s="306"/>
      <c r="AB19" s="306"/>
      <c r="AC19" s="306"/>
      <c r="AD19" s="306"/>
      <c r="AE19" s="306"/>
      <c r="AF19" s="306"/>
      <c r="AG19" s="306"/>
      <c r="AH19" s="306"/>
      <c r="AI19" s="306"/>
      <c r="AJ19" s="306"/>
      <c r="AK19" s="306"/>
      <c r="AL19" s="306"/>
      <c r="AM19" s="306"/>
      <c r="AN19" s="306"/>
      <c r="AO19" s="306"/>
      <c r="AP19" s="306"/>
      <c r="AQ19" s="306"/>
      <c r="AR19" s="306"/>
      <c r="AS19" s="306"/>
      <c r="AT19" s="306"/>
      <c r="AU19" s="306"/>
      <c r="AV19" s="306"/>
      <c r="AW19" s="306"/>
      <c r="AX19" s="306"/>
      <c r="AY19" s="306"/>
      <c r="AZ19" s="306"/>
      <c r="BA19" s="306"/>
      <c r="BB19" s="306"/>
      <c r="BC19" s="306"/>
      <c r="BD19" s="306"/>
      <c r="BE19" s="306"/>
      <c r="BF19" s="306"/>
      <c r="BG19" s="306"/>
      <c r="BH19" s="306"/>
      <c r="BI19" s="306"/>
      <c r="BJ19" s="306"/>
      <c r="BK19" s="306"/>
      <c r="BL19" s="306"/>
      <c r="BM19" s="306"/>
      <c r="BN19" s="306"/>
      <c r="BO19" s="178"/>
      <c r="BP19" s="172"/>
      <c r="BQ19" s="172"/>
      <c r="BR19" s="172"/>
      <c r="BS19" s="172"/>
      <c r="BT19" s="172"/>
      <c r="BU19" s="172"/>
      <c r="BV19" s="172"/>
      <c r="BW19" s="172"/>
      <c r="BX19" s="172"/>
      <c r="BY19" s="172"/>
      <c r="BZ19" s="172"/>
      <c r="CA19" s="172"/>
      <c r="CB19" s="172"/>
      <c r="CC19" s="172"/>
      <c r="CD19" s="172"/>
      <c r="CE19" s="172"/>
      <c r="CF19" s="172"/>
      <c r="CG19" s="172"/>
      <c r="CH19" s="172"/>
      <c r="CI19" s="172"/>
      <c r="CJ19" s="172"/>
      <c r="CK19" s="172"/>
      <c r="CL19" s="172"/>
      <c r="CM19" s="172"/>
      <c r="CN19" s="172"/>
      <c r="CO19" s="172"/>
      <c r="CP19" s="172"/>
      <c r="CQ19" s="172"/>
      <c r="CR19" s="172"/>
      <c r="CS19" s="172"/>
      <c r="CT19" s="172"/>
      <c r="CU19" s="172"/>
      <c r="CV19" s="175"/>
    </row>
    <row r="20" spans="2:100" ht="21.75" customHeight="1">
      <c r="B20" s="174"/>
      <c r="C20" s="296" t="s">
        <v>1759</v>
      </c>
      <c r="D20" s="187"/>
      <c r="E20" s="187"/>
      <c r="F20" s="187"/>
      <c r="G20" s="187"/>
      <c r="H20" s="187"/>
      <c r="I20" s="187"/>
      <c r="J20" s="187"/>
      <c r="K20" s="187"/>
      <c r="L20" s="187"/>
      <c r="M20" s="187"/>
      <c r="N20" s="187"/>
      <c r="O20" s="187"/>
      <c r="P20" s="187"/>
      <c r="Q20" s="187"/>
      <c r="R20" s="187"/>
      <c r="S20" s="187"/>
      <c r="T20" s="187"/>
      <c r="U20" s="187"/>
      <c r="V20" s="187"/>
      <c r="W20" s="187"/>
      <c r="X20" s="187"/>
      <c r="Y20" s="187"/>
      <c r="Z20" s="187"/>
      <c r="AA20" s="187"/>
      <c r="AB20" s="187"/>
      <c r="AC20" s="187"/>
      <c r="AD20" s="187"/>
      <c r="AE20" s="187"/>
      <c r="AF20" s="187"/>
      <c r="AG20" s="187"/>
      <c r="AH20" s="187"/>
      <c r="AI20" s="187"/>
      <c r="AJ20" s="187"/>
      <c r="AK20" s="187"/>
      <c r="AL20" s="187"/>
      <c r="AM20" s="187"/>
      <c r="AN20" s="187"/>
      <c r="AO20" s="187"/>
      <c r="AP20" s="187"/>
      <c r="AQ20" s="187"/>
      <c r="AR20" s="187"/>
      <c r="AS20" s="187"/>
      <c r="AT20" s="187"/>
      <c r="AU20" s="187"/>
      <c r="AV20" s="187"/>
      <c r="AW20" s="187"/>
      <c r="AX20" s="187"/>
      <c r="AY20" s="187"/>
      <c r="AZ20" s="187"/>
      <c r="BA20" s="187"/>
      <c r="BB20" s="187"/>
      <c r="BC20" s="187"/>
      <c r="BD20" s="187"/>
      <c r="BE20" s="187"/>
      <c r="BF20" s="187"/>
      <c r="BG20" s="187"/>
      <c r="BH20" s="187"/>
      <c r="BI20" s="187"/>
      <c r="BJ20" s="187"/>
      <c r="BK20" s="187"/>
      <c r="BL20" s="187"/>
      <c r="BM20" s="187"/>
      <c r="BN20" s="187"/>
      <c r="BO20" s="187"/>
      <c r="BP20" s="187"/>
      <c r="BQ20" s="187"/>
      <c r="BR20" s="187"/>
      <c r="BS20" s="187"/>
      <c r="BT20" s="187"/>
      <c r="BU20" s="187"/>
      <c r="BV20" s="187"/>
      <c r="BW20" s="187"/>
      <c r="BX20" s="187"/>
      <c r="BY20" s="187"/>
      <c r="BZ20" s="187"/>
      <c r="CA20" s="187"/>
      <c r="CB20" s="187"/>
      <c r="CC20" s="187"/>
      <c r="CD20" s="187"/>
      <c r="CE20" s="187"/>
      <c r="CF20" s="187"/>
      <c r="CG20" s="187"/>
      <c r="CH20" s="187"/>
      <c r="CI20" s="187"/>
      <c r="CJ20" s="187"/>
      <c r="CK20" s="187"/>
      <c r="CL20" s="187"/>
      <c r="CM20" s="187"/>
      <c r="CN20" s="187"/>
      <c r="CO20" s="187"/>
      <c r="CP20" s="187"/>
      <c r="CQ20" s="187"/>
      <c r="CR20" s="187"/>
      <c r="CS20" s="187"/>
      <c r="CT20" s="187"/>
      <c r="CU20" s="187"/>
      <c r="CV20" s="175"/>
    </row>
    <row r="21" spans="2:100" ht="21.75" customHeight="1">
      <c r="B21" s="174"/>
      <c r="C21" s="187"/>
      <c r="D21" s="187"/>
      <c r="E21" s="187"/>
      <c r="F21" s="187"/>
      <c r="G21" s="187"/>
      <c r="H21" s="187"/>
      <c r="I21" s="187"/>
      <c r="J21" s="187"/>
      <c r="K21" s="187"/>
      <c r="L21" s="187"/>
      <c r="M21" s="187"/>
      <c r="N21" s="187"/>
      <c r="O21" s="187"/>
      <c r="P21" s="187"/>
      <c r="Q21" s="187"/>
      <c r="R21" s="187"/>
      <c r="S21" s="187"/>
      <c r="T21" s="187"/>
      <c r="U21" s="187"/>
      <c r="V21" s="187"/>
      <c r="W21" s="187"/>
      <c r="X21" s="187"/>
      <c r="Y21" s="187"/>
      <c r="Z21" s="187"/>
      <c r="AA21" s="187"/>
      <c r="AB21" s="187"/>
      <c r="AC21" s="187"/>
      <c r="AD21" s="187"/>
      <c r="AE21" s="187"/>
      <c r="AF21" s="187"/>
      <c r="AG21" s="187"/>
      <c r="AH21" s="187"/>
      <c r="AI21" s="187"/>
      <c r="AJ21" s="187"/>
      <c r="AK21" s="187"/>
      <c r="AL21" s="187"/>
      <c r="AM21" s="187"/>
      <c r="AN21" s="187"/>
      <c r="AO21" s="187"/>
      <c r="AP21" s="187"/>
      <c r="AQ21" s="187"/>
      <c r="AR21" s="187"/>
      <c r="AS21" s="187"/>
      <c r="AT21" s="187"/>
      <c r="AU21" s="187"/>
      <c r="AV21" s="187"/>
      <c r="AW21" s="187"/>
      <c r="AX21" s="187"/>
      <c r="AY21" s="187"/>
      <c r="AZ21" s="187"/>
      <c r="BA21" s="187"/>
      <c r="BB21" s="187"/>
      <c r="BC21" s="187"/>
      <c r="BD21" s="187"/>
      <c r="BE21" s="187"/>
      <c r="BF21" s="187"/>
      <c r="BG21" s="187"/>
      <c r="BH21" s="187"/>
      <c r="BI21" s="187"/>
      <c r="BJ21" s="187"/>
      <c r="BK21" s="187"/>
      <c r="BL21" s="187"/>
      <c r="BM21" s="187"/>
      <c r="BN21" s="187"/>
      <c r="BO21" s="187"/>
      <c r="BP21" s="187"/>
      <c r="BQ21" s="187"/>
      <c r="BR21" s="187"/>
      <c r="BS21" s="187"/>
      <c r="BT21" s="187"/>
      <c r="BU21" s="187"/>
      <c r="BV21" s="187"/>
      <c r="BW21" s="187"/>
      <c r="BX21" s="187"/>
      <c r="BY21" s="187"/>
      <c r="BZ21" s="187"/>
      <c r="CA21" s="187"/>
      <c r="CB21" s="187"/>
      <c r="CC21" s="187"/>
      <c r="CD21" s="187"/>
      <c r="CE21" s="187"/>
      <c r="CF21" s="187"/>
      <c r="CG21" s="187"/>
      <c r="CH21" s="187"/>
      <c r="CI21" s="187"/>
      <c r="CJ21" s="187"/>
      <c r="CK21" s="187"/>
      <c r="CL21" s="187"/>
      <c r="CM21" s="187"/>
      <c r="CN21" s="187"/>
      <c r="CO21" s="187"/>
      <c r="CP21" s="187"/>
      <c r="CQ21" s="187"/>
      <c r="CR21" s="187"/>
      <c r="CS21" s="187"/>
      <c r="CT21" s="187"/>
      <c r="CU21" s="187"/>
      <c r="CV21" s="175"/>
    </row>
    <row r="22" spans="2:100" ht="21.75" customHeight="1">
      <c r="B22" s="174"/>
      <c r="C22" s="187"/>
      <c r="D22" s="187"/>
      <c r="E22" s="187"/>
      <c r="F22" s="187"/>
      <c r="G22" s="187"/>
      <c r="H22" s="187"/>
      <c r="I22" s="187"/>
      <c r="J22" s="187"/>
      <c r="K22" s="187"/>
      <c r="L22" s="187"/>
      <c r="M22" s="187"/>
      <c r="N22" s="187"/>
      <c r="O22" s="187"/>
      <c r="P22" s="187"/>
      <c r="Q22" s="187"/>
      <c r="R22" s="187"/>
      <c r="S22" s="187"/>
      <c r="T22" s="187"/>
      <c r="U22" s="187"/>
      <c r="V22" s="187"/>
      <c r="W22" s="187"/>
      <c r="X22" s="187"/>
      <c r="Y22" s="187"/>
      <c r="Z22" s="187"/>
      <c r="AA22" s="187"/>
      <c r="AB22" s="187"/>
      <c r="AC22" s="187"/>
      <c r="AD22" s="187"/>
      <c r="AE22" s="187"/>
      <c r="AF22" s="187"/>
      <c r="AG22" s="187"/>
      <c r="AH22" s="187"/>
      <c r="AI22" s="187"/>
      <c r="AJ22" s="187"/>
      <c r="AK22" s="187"/>
      <c r="AL22" s="187"/>
      <c r="AM22" s="187"/>
      <c r="AN22" s="187"/>
      <c r="AO22" s="187"/>
      <c r="AP22" s="187"/>
      <c r="AQ22" s="187"/>
      <c r="AR22" s="187"/>
      <c r="AS22" s="187"/>
      <c r="AT22" s="187"/>
      <c r="AU22" s="187"/>
      <c r="AV22" s="187"/>
      <c r="AW22" s="187"/>
      <c r="AX22" s="187"/>
      <c r="AY22" s="187"/>
      <c r="AZ22" s="187"/>
      <c r="BA22" s="187"/>
      <c r="BB22" s="187"/>
      <c r="BC22" s="187"/>
      <c r="BD22" s="187"/>
      <c r="BE22" s="187"/>
      <c r="BF22" s="187"/>
      <c r="BG22" s="187"/>
      <c r="BH22" s="187"/>
      <c r="BI22" s="187"/>
      <c r="BJ22" s="187"/>
      <c r="BK22" s="187"/>
      <c r="BL22" s="187"/>
      <c r="BM22" s="187"/>
      <c r="BN22" s="187"/>
      <c r="BO22" s="187"/>
      <c r="BP22" s="187"/>
      <c r="BQ22" s="187"/>
      <c r="BR22" s="187"/>
      <c r="BS22" s="187"/>
      <c r="BT22" s="187"/>
      <c r="BU22" s="187"/>
      <c r="BV22" s="187"/>
      <c r="BW22" s="187"/>
      <c r="BX22" s="187"/>
      <c r="BY22" s="187"/>
      <c r="BZ22" s="187"/>
      <c r="CA22" s="187"/>
      <c r="CB22" s="187"/>
      <c r="CC22" s="187"/>
      <c r="CD22" s="187"/>
      <c r="CE22" s="187"/>
      <c r="CF22" s="187"/>
      <c r="CG22" s="187"/>
      <c r="CH22" s="187"/>
      <c r="CI22" s="187"/>
      <c r="CJ22" s="187"/>
      <c r="CK22" s="187"/>
      <c r="CL22" s="187"/>
      <c r="CM22" s="187"/>
      <c r="CN22" s="187"/>
      <c r="CO22" s="187"/>
      <c r="CP22" s="187"/>
      <c r="CQ22" s="187"/>
      <c r="CR22" s="187"/>
      <c r="CS22" s="187"/>
      <c r="CT22" s="187"/>
      <c r="CU22" s="187"/>
      <c r="CV22" s="175"/>
    </row>
    <row r="23" spans="2:100" ht="21.75" customHeight="1">
      <c r="B23" s="174"/>
      <c r="C23" s="179"/>
      <c r="D23" s="179"/>
      <c r="E23" s="179"/>
      <c r="F23" s="179"/>
      <c r="G23" s="179"/>
      <c r="H23" s="179"/>
      <c r="I23" s="179"/>
      <c r="J23" s="179"/>
      <c r="K23" s="179"/>
      <c r="L23" s="179"/>
      <c r="M23" s="179"/>
      <c r="N23" s="179"/>
      <c r="O23" s="179"/>
      <c r="P23" s="179"/>
      <c r="Q23" s="179"/>
      <c r="R23" s="179"/>
      <c r="S23" s="179"/>
      <c r="T23" s="179"/>
      <c r="U23" s="179"/>
      <c r="V23" s="179"/>
      <c r="W23" s="179"/>
      <c r="X23" s="179"/>
      <c r="Y23" s="179"/>
      <c r="Z23" s="179"/>
      <c r="AA23" s="179"/>
      <c r="AB23" s="179"/>
      <c r="AC23" s="179"/>
      <c r="AD23" s="179"/>
      <c r="AE23" s="179"/>
      <c r="AF23" s="179"/>
      <c r="AG23" s="179"/>
      <c r="AH23" s="179"/>
      <c r="AI23" s="179"/>
      <c r="AJ23" s="179"/>
      <c r="AK23" s="179"/>
      <c r="AL23" s="179"/>
      <c r="AM23" s="179"/>
      <c r="AN23" s="179"/>
      <c r="AO23" s="179"/>
      <c r="AP23" s="179"/>
      <c r="AQ23" s="179"/>
      <c r="AR23" s="179"/>
      <c r="AS23" s="179"/>
      <c r="AT23" s="179"/>
      <c r="AU23" s="179"/>
      <c r="AV23" s="179"/>
      <c r="AW23" s="179"/>
      <c r="AX23" s="179"/>
      <c r="AY23" s="179"/>
      <c r="AZ23" s="179"/>
      <c r="BA23" s="179"/>
      <c r="BB23" s="179"/>
      <c r="BC23" s="179"/>
      <c r="BD23" s="179"/>
      <c r="BE23" s="179"/>
      <c r="BF23" s="179"/>
      <c r="BG23" s="179"/>
      <c r="BH23" s="179"/>
      <c r="BI23" s="179"/>
      <c r="BJ23" s="179"/>
      <c r="BK23" s="179"/>
      <c r="BL23" s="179"/>
      <c r="BM23" s="179"/>
      <c r="BN23" s="179"/>
      <c r="BO23" s="179"/>
      <c r="BP23" s="179"/>
      <c r="BQ23" s="179"/>
      <c r="BR23" s="179"/>
      <c r="BS23" s="179"/>
      <c r="BT23" s="179"/>
      <c r="BU23" s="179"/>
      <c r="BV23" s="179"/>
      <c r="BW23" s="179"/>
      <c r="BX23" s="179"/>
      <c r="BY23" s="179"/>
      <c r="BZ23" s="179"/>
      <c r="CA23" s="179"/>
      <c r="CB23" s="179"/>
      <c r="CC23" s="179"/>
      <c r="CD23" s="179"/>
      <c r="CE23" s="179"/>
      <c r="CF23" s="179"/>
      <c r="CG23" s="179"/>
      <c r="CH23" s="179"/>
      <c r="CI23" s="179"/>
      <c r="CJ23" s="179"/>
      <c r="CK23" s="179"/>
      <c r="CL23" s="179"/>
      <c r="CM23" s="179"/>
      <c r="CN23" s="179"/>
      <c r="CO23" s="179"/>
      <c r="CP23" s="179"/>
      <c r="CQ23" s="179"/>
      <c r="CR23" s="179"/>
      <c r="CS23" s="179"/>
      <c r="CT23" s="179"/>
      <c r="CU23" s="179"/>
      <c r="CV23" s="175"/>
    </row>
    <row r="24" spans="2:100" ht="21.75" customHeight="1">
      <c r="B24" s="174"/>
      <c r="C24" s="172"/>
      <c r="D24" s="172"/>
      <c r="E24" s="172"/>
      <c r="F24" s="172"/>
      <c r="G24" s="172"/>
      <c r="H24" s="172"/>
      <c r="I24" s="172"/>
      <c r="J24" s="172"/>
      <c r="K24" s="172"/>
      <c r="L24" s="172"/>
      <c r="M24" s="172"/>
      <c r="N24" s="172"/>
      <c r="O24" s="172"/>
      <c r="P24" s="172"/>
      <c r="Q24" s="172"/>
      <c r="R24" s="172"/>
      <c r="S24" s="172"/>
      <c r="T24" s="172"/>
      <c r="U24" s="172"/>
      <c r="V24" s="172"/>
      <c r="W24" s="172"/>
      <c r="X24" s="172"/>
      <c r="Y24" s="172"/>
      <c r="Z24" s="172"/>
      <c r="AA24" s="172"/>
      <c r="AB24" s="172"/>
      <c r="AC24" s="172"/>
      <c r="AD24" s="172"/>
      <c r="AE24" s="172"/>
      <c r="AF24" s="172"/>
      <c r="AG24" s="172"/>
      <c r="AH24" s="172"/>
      <c r="AI24" s="172"/>
      <c r="AJ24" s="172"/>
      <c r="AK24" s="172"/>
      <c r="AL24" s="172"/>
      <c r="AM24" s="172"/>
      <c r="AN24" s="172"/>
      <c r="AO24" s="172"/>
      <c r="AP24" s="172"/>
      <c r="AQ24" s="172"/>
      <c r="AR24" s="172"/>
      <c r="AS24" s="172"/>
      <c r="AT24" s="172"/>
      <c r="AU24" s="172"/>
      <c r="AV24" s="172"/>
      <c r="AW24" s="172"/>
      <c r="AX24" s="172"/>
      <c r="AY24" s="172"/>
      <c r="AZ24" s="172"/>
      <c r="BA24" s="172"/>
      <c r="BB24" s="172"/>
      <c r="BC24" s="172"/>
      <c r="BD24" s="172"/>
      <c r="BE24" s="172"/>
      <c r="BF24" s="172"/>
      <c r="BG24" s="172"/>
      <c r="BH24" s="172"/>
      <c r="BI24" s="172"/>
      <c r="BJ24" s="172"/>
      <c r="BK24" s="172"/>
      <c r="BL24" s="172"/>
      <c r="BM24" s="172"/>
      <c r="BN24" s="172"/>
      <c r="BO24" s="172"/>
      <c r="BP24" s="172"/>
      <c r="BQ24" s="172"/>
      <c r="BR24" s="172"/>
      <c r="BS24" s="172"/>
      <c r="BT24" s="172"/>
      <c r="BU24" s="172"/>
      <c r="BV24" s="172"/>
      <c r="BW24" s="172"/>
      <c r="BX24" s="172"/>
      <c r="BY24" s="172"/>
      <c r="BZ24" s="172"/>
      <c r="CA24" s="172"/>
      <c r="CB24" s="172"/>
      <c r="CC24" s="172"/>
      <c r="CD24" s="172"/>
      <c r="CE24" s="172"/>
      <c r="CF24" s="172"/>
      <c r="CG24" s="172"/>
      <c r="CH24" s="172"/>
      <c r="CI24" s="172"/>
      <c r="CJ24" s="172"/>
      <c r="CK24" s="172"/>
      <c r="CL24" s="172"/>
      <c r="CM24" s="172"/>
      <c r="CN24" s="172"/>
      <c r="CO24" s="172"/>
      <c r="CP24" s="172"/>
      <c r="CQ24" s="172"/>
      <c r="CR24" s="172"/>
      <c r="CS24" s="172"/>
      <c r="CT24" s="172"/>
      <c r="CU24" s="172"/>
      <c r="CV24" s="175"/>
    </row>
    <row r="25" spans="2:100" ht="21.75" customHeight="1">
      <c r="B25" s="174"/>
      <c r="C25" s="290" t="s">
        <v>1736</v>
      </c>
      <c r="D25" s="290"/>
      <c r="E25" s="290"/>
      <c r="F25" s="290"/>
      <c r="G25" s="290"/>
      <c r="H25" s="290"/>
      <c r="I25" s="290"/>
      <c r="J25" s="290"/>
      <c r="K25" s="290"/>
      <c r="L25" s="290"/>
      <c r="M25" s="290"/>
      <c r="N25" s="290"/>
      <c r="O25" s="290"/>
      <c r="P25" s="290"/>
      <c r="Q25" s="290"/>
      <c r="R25" s="290"/>
      <c r="S25" s="291" t="s">
        <v>1654</v>
      </c>
      <c r="T25" s="291"/>
      <c r="U25" s="291"/>
      <c r="V25" s="291"/>
      <c r="W25" s="291"/>
      <c r="X25" s="291"/>
      <c r="Y25" s="291"/>
      <c r="Z25" s="291"/>
      <c r="AA25" s="291"/>
      <c r="AB25" s="291"/>
      <c r="AC25" s="291"/>
      <c r="AD25" s="291"/>
      <c r="AE25" s="291"/>
      <c r="AF25" s="291"/>
      <c r="AG25" s="291"/>
      <c r="AH25" s="291"/>
      <c r="AI25" s="292" t="s">
        <v>1737</v>
      </c>
      <c r="AJ25" s="292"/>
      <c r="AK25" s="292"/>
      <c r="AL25" s="292"/>
      <c r="AM25" s="292"/>
      <c r="AN25" s="292"/>
      <c r="AO25" s="292"/>
      <c r="AP25" s="292"/>
      <c r="AQ25" s="292"/>
      <c r="AR25" s="292"/>
      <c r="AS25" s="292"/>
      <c r="AT25" s="292"/>
      <c r="AU25" s="292"/>
      <c r="AV25" s="292"/>
      <c r="AW25" s="292"/>
      <c r="AX25" s="292"/>
      <c r="AY25" s="291" t="s">
        <v>1655</v>
      </c>
      <c r="AZ25" s="291"/>
      <c r="BA25" s="291"/>
      <c r="BB25" s="291"/>
      <c r="BC25" s="291"/>
      <c r="BD25" s="291"/>
      <c r="BE25" s="291"/>
      <c r="BF25" s="291"/>
      <c r="BG25" s="291"/>
      <c r="BH25" s="291"/>
      <c r="BI25" s="291"/>
      <c r="BJ25" s="291"/>
      <c r="BK25" s="291"/>
      <c r="BL25" s="291"/>
      <c r="BM25" s="291"/>
      <c r="BN25" s="291"/>
      <c r="BO25" s="292" t="s">
        <v>1738</v>
      </c>
      <c r="BP25" s="292"/>
      <c r="BQ25" s="292"/>
      <c r="BR25" s="292"/>
      <c r="BS25" s="292"/>
      <c r="BT25" s="292"/>
      <c r="BU25" s="292"/>
      <c r="BV25" s="292"/>
      <c r="BW25" s="292"/>
      <c r="BX25" s="292"/>
      <c r="BY25" s="292"/>
      <c r="BZ25" s="292"/>
      <c r="CA25" s="292"/>
      <c r="CB25" s="292"/>
      <c r="CC25" s="292"/>
      <c r="CD25" s="292"/>
      <c r="CE25" s="291" t="s">
        <v>1641</v>
      </c>
      <c r="CF25" s="291"/>
      <c r="CG25" s="291"/>
      <c r="CH25" s="291"/>
      <c r="CI25" s="291"/>
      <c r="CJ25" s="291"/>
      <c r="CK25" s="291"/>
      <c r="CL25" s="291"/>
      <c r="CM25" s="291"/>
      <c r="CN25" s="291"/>
      <c r="CO25" s="291"/>
      <c r="CP25" s="291"/>
      <c r="CQ25" s="291"/>
      <c r="CR25" s="291"/>
      <c r="CS25" s="291"/>
      <c r="CT25" s="291"/>
      <c r="CU25" s="179"/>
      <c r="CV25" s="175"/>
    </row>
    <row r="26" spans="2:100" ht="21.75" customHeight="1">
      <c r="B26" s="174"/>
      <c r="C26" s="314" t="s">
        <v>1761</v>
      </c>
      <c r="D26" s="315"/>
      <c r="E26" s="315"/>
      <c r="F26" s="315"/>
      <c r="G26" s="315"/>
      <c r="H26" s="315"/>
      <c r="I26" s="315"/>
      <c r="J26" s="315"/>
      <c r="K26" s="315"/>
      <c r="L26" s="315"/>
      <c r="M26" s="315"/>
      <c r="N26" s="315"/>
      <c r="O26" s="315"/>
      <c r="P26" s="315"/>
      <c r="Q26" s="315"/>
      <c r="R26" s="184"/>
      <c r="S26" s="184"/>
      <c r="T26" s="184"/>
      <c r="U26" s="184"/>
      <c r="V26" s="184"/>
      <c r="W26" s="184"/>
      <c r="X26" s="184"/>
      <c r="Y26" s="184"/>
      <c r="Z26" s="285" t="s">
        <v>1760</v>
      </c>
      <c r="AA26" s="286"/>
      <c r="AB26" s="286"/>
      <c r="AC26" s="286"/>
      <c r="AD26" s="286"/>
      <c r="AE26" s="286"/>
      <c r="AF26" s="286"/>
      <c r="AG26" s="286"/>
      <c r="AH26" s="286"/>
      <c r="AI26" s="286"/>
      <c r="AJ26" s="286"/>
      <c r="AK26" s="286"/>
      <c r="AL26" s="286"/>
      <c r="AM26" s="286"/>
      <c r="AN26" s="286"/>
      <c r="AO26" s="286"/>
      <c r="AP26" s="286"/>
      <c r="AQ26" s="286"/>
      <c r="AR26" s="286"/>
      <c r="AS26" s="286"/>
      <c r="AT26" s="286"/>
      <c r="AU26" s="286"/>
      <c r="AV26" s="286"/>
      <c r="AW26" s="286"/>
      <c r="AX26" s="286"/>
      <c r="AY26" s="286"/>
      <c r="AZ26" s="286"/>
      <c r="BA26" s="286"/>
      <c r="BB26" s="286"/>
      <c r="BC26" s="286"/>
      <c r="BD26" s="286"/>
      <c r="BE26" s="286"/>
      <c r="BF26" s="286"/>
      <c r="BG26" s="286"/>
      <c r="BH26" s="286"/>
      <c r="BI26" s="286"/>
      <c r="BJ26" s="286"/>
      <c r="BK26" s="286"/>
      <c r="BL26" s="286"/>
      <c r="BM26" s="286"/>
      <c r="BN26" s="286"/>
      <c r="BO26" s="286"/>
      <c r="BP26" s="286"/>
      <c r="BQ26" s="286"/>
      <c r="BR26" s="286"/>
      <c r="BS26" s="286"/>
      <c r="BT26" s="286"/>
      <c r="BU26" s="286"/>
      <c r="BV26" s="286"/>
      <c r="BW26" s="286"/>
      <c r="BX26" s="286"/>
      <c r="BY26" s="286"/>
      <c r="BZ26" s="286"/>
      <c r="CA26" s="286"/>
      <c r="CB26" s="286"/>
      <c r="CC26" s="286"/>
      <c r="CD26" s="286"/>
      <c r="CE26" s="286"/>
      <c r="CF26" s="286"/>
      <c r="CG26" s="286"/>
      <c r="CH26" s="286"/>
      <c r="CI26" s="286"/>
      <c r="CJ26" s="286"/>
      <c r="CK26" s="286"/>
      <c r="CL26" s="286"/>
      <c r="CM26" s="286"/>
      <c r="CN26" s="286"/>
      <c r="CO26" s="286"/>
      <c r="CP26" s="286"/>
      <c r="CQ26" s="286"/>
      <c r="CR26" s="286"/>
      <c r="CS26" s="286"/>
      <c r="CT26" s="286"/>
      <c r="CU26" s="286"/>
      <c r="CV26" s="175"/>
    </row>
    <row r="27" spans="2:100" ht="21.75" customHeight="1">
      <c r="B27" s="174"/>
      <c r="C27" s="287" t="s">
        <v>1652</v>
      </c>
      <c r="D27" s="187"/>
      <c r="E27" s="187"/>
      <c r="F27" s="187"/>
      <c r="G27" s="187"/>
      <c r="H27" s="187"/>
      <c r="I27" s="187"/>
      <c r="J27" s="187"/>
      <c r="K27" s="187"/>
      <c r="L27" s="187"/>
      <c r="M27" s="187"/>
      <c r="N27" s="187"/>
      <c r="O27" s="187"/>
      <c r="P27" s="187"/>
      <c r="Q27" s="187"/>
      <c r="R27" s="185"/>
      <c r="S27" s="185"/>
      <c r="T27" s="185"/>
      <c r="U27" s="185"/>
      <c r="V27" s="185"/>
      <c r="W27" s="288"/>
      <c r="X27" s="289"/>
      <c r="Y27" s="289"/>
      <c r="Z27" s="287" t="s">
        <v>1694</v>
      </c>
      <c r="AA27" s="187"/>
      <c r="AB27" s="187"/>
      <c r="AC27" s="187"/>
      <c r="AD27" s="187"/>
      <c r="AE27" s="187"/>
      <c r="AF27" s="187"/>
      <c r="AG27" s="187"/>
      <c r="AH27" s="187"/>
      <c r="AI27" s="187"/>
      <c r="AJ27" s="187"/>
      <c r="AK27" s="187"/>
      <c r="AL27" s="187"/>
      <c r="AM27" s="187"/>
      <c r="AN27" s="187"/>
      <c r="AO27" s="187"/>
      <c r="AP27" s="187"/>
      <c r="AQ27" s="187"/>
      <c r="AR27" s="187"/>
      <c r="AS27" s="187"/>
      <c r="AT27" s="187"/>
      <c r="AU27" s="187"/>
      <c r="AV27" s="187"/>
      <c r="AW27" s="187"/>
      <c r="AX27" s="187"/>
      <c r="AY27" s="187"/>
      <c r="AZ27" s="187"/>
      <c r="BA27" s="187"/>
      <c r="BB27" s="187"/>
      <c r="BC27" s="187"/>
      <c r="BD27" s="187"/>
      <c r="BE27" s="187"/>
      <c r="BF27" s="187"/>
      <c r="BG27" s="187"/>
      <c r="BH27" s="187"/>
      <c r="BI27" s="187"/>
      <c r="BJ27" s="187"/>
      <c r="BK27" s="187"/>
      <c r="BL27" s="187"/>
      <c r="BM27" s="187"/>
      <c r="BN27" s="187"/>
      <c r="BO27" s="187"/>
      <c r="BP27" s="187"/>
      <c r="BQ27" s="187"/>
      <c r="BR27" s="187"/>
      <c r="BS27" s="187"/>
      <c r="BT27" s="187"/>
      <c r="BU27" s="187"/>
      <c r="BV27" s="187"/>
      <c r="BW27" s="187"/>
      <c r="BX27" s="187"/>
      <c r="BY27" s="187"/>
      <c r="BZ27" s="187"/>
      <c r="CA27" s="187"/>
      <c r="CB27" s="187"/>
      <c r="CC27" s="187"/>
      <c r="CD27" s="187"/>
      <c r="CE27" s="187"/>
      <c r="CF27" s="187"/>
      <c r="CG27" s="187"/>
      <c r="CH27" s="187"/>
      <c r="CI27" s="187"/>
      <c r="CJ27" s="187"/>
      <c r="CK27" s="187"/>
      <c r="CL27" s="187"/>
      <c r="CM27" s="187"/>
      <c r="CN27" s="187"/>
      <c r="CO27" s="187"/>
      <c r="CP27" s="187"/>
      <c r="CQ27" s="187"/>
      <c r="CR27" s="187"/>
      <c r="CS27" s="187"/>
      <c r="CT27" s="187"/>
      <c r="CU27" s="187"/>
      <c r="CV27" s="175"/>
    </row>
    <row r="28" spans="2:100" ht="21.75" customHeight="1">
      <c r="B28" s="174"/>
      <c r="C28" s="304" t="s">
        <v>1740</v>
      </c>
      <c r="D28" s="305"/>
      <c r="E28" s="305"/>
      <c r="F28" s="305"/>
      <c r="G28" s="305"/>
      <c r="H28" s="305"/>
      <c r="I28" s="305"/>
      <c r="J28" s="305"/>
      <c r="K28" s="305"/>
      <c r="L28" s="305"/>
      <c r="M28" s="305"/>
      <c r="N28" s="305"/>
      <c r="O28" s="305"/>
      <c r="P28" s="305"/>
      <c r="Q28" s="305"/>
      <c r="R28" s="305"/>
      <c r="S28" s="305"/>
      <c r="T28" s="305"/>
      <c r="U28" s="305"/>
      <c r="V28" s="305"/>
      <c r="W28" s="305"/>
      <c r="X28" s="305"/>
      <c r="Y28" s="305"/>
      <c r="Z28" s="305"/>
      <c r="AA28" s="305"/>
      <c r="AB28" s="305"/>
      <c r="AC28" s="305"/>
      <c r="AD28" s="305"/>
      <c r="AE28" s="305"/>
      <c r="AF28" s="305"/>
      <c r="AG28" s="305"/>
      <c r="AH28" s="305"/>
      <c r="AI28" s="305"/>
      <c r="AJ28" s="305"/>
      <c r="AK28" s="305"/>
      <c r="AL28" s="305"/>
      <c r="AM28" s="305"/>
      <c r="AN28" s="305"/>
      <c r="AO28" s="305"/>
      <c r="AP28" s="305"/>
      <c r="AQ28" s="305"/>
      <c r="AR28" s="305"/>
      <c r="AS28" s="305"/>
      <c r="AT28" s="305"/>
      <c r="AU28" s="305"/>
      <c r="AV28" s="305"/>
      <c r="AW28" s="305"/>
      <c r="AX28" s="305"/>
      <c r="AY28" s="305"/>
      <c r="AZ28" s="305"/>
      <c r="BA28" s="305"/>
      <c r="BB28" s="305"/>
      <c r="BC28" s="305"/>
      <c r="BD28" s="305"/>
      <c r="BE28" s="305"/>
      <c r="BF28" s="305"/>
      <c r="BG28" s="305"/>
      <c r="BH28" s="305"/>
      <c r="BI28" s="165"/>
      <c r="BJ28" s="165"/>
      <c r="BK28" s="165"/>
      <c r="BL28" s="165"/>
      <c r="BM28" s="165"/>
      <c r="BN28" s="165"/>
      <c r="BO28" s="178"/>
      <c r="BP28" s="179"/>
      <c r="BQ28" s="179"/>
      <c r="BR28" s="179"/>
      <c r="BS28" s="179"/>
      <c r="BT28" s="179"/>
      <c r="BU28" s="179"/>
      <c r="BV28" s="179"/>
      <c r="BW28" s="179"/>
      <c r="BX28" s="179"/>
      <c r="BY28" s="179"/>
      <c r="BZ28" s="179"/>
      <c r="CA28" s="179"/>
      <c r="CB28" s="179"/>
      <c r="CC28" s="179"/>
      <c r="CD28" s="179"/>
      <c r="CE28" s="179"/>
      <c r="CF28" s="179"/>
      <c r="CG28" s="179"/>
      <c r="CH28" s="179"/>
      <c r="CI28" s="179"/>
      <c r="CJ28" s="179"/>
      <c r="CK28" s="179"/>
      <c r="CL28" s="179"/>
      <c r="CM28" s="179"/>
      <c r="CN28" s="179"/>
      <c r="CO28" s="179"/>
      <c r="CP28" s="179"/>
      <c r="CQ28" s="179"/>
      <c r="CR28" s="179"/>
      <c r="CS28" s="179"/>
      <c r="CT28" s="179"/>
      <c r="CU28" s="179"/>
      <c r="CV28" s="175"/>
    </row>
    <row r="29" spans="2:100" ht="21.75" customHeight="1">
      <c r="B29" s="174"/>
      <c r="C29" s="287" t="s">
        <v>1642</v>
      </c>
      <c r="D29" s="293"/>
      <c r="E29" s="293"/>
      <c r="F29" s="293"/>
      <c r="G29" s="293"/>
      <c r="H29" s="293"/>
      <c r="I29" s="293"/>
      <c r="J29" s="293"/>
      <c r="K29" s="293"/>
      <c r="L29" s="293"/>
      <c r="M29" s="293"/>
      <c r="N29" s="293"/>
      <c r="O29" s="293"/>
      <c r="P29" s="293"/>
      <c r="Q29" s="293"/>
      <c r="R29" s="293"/>
      <c r="S29" s="293"/>
      <c r="T29" s="293"/>
      <c r="U29" s="293"/>
      <c r="V29" s="293"/>
      <c r="W29" s="293"/>
      <c r="X29" s="293"/>
      <c r="Y29" s="293"/>
      <c r="Z29" s="293"/>
      <c r="AA29" s="293"/>
      <c r="AB29" s="293"/>
      <c r="AC29" s="293"/>
      <c r="AD29" s="293"/>
      <c r="AE29" s="293"/>
      <c r="AF29" s="293"/>
      <c r="AG29" s="293"/>
      <c r="AH29" s="293"/>
      <c r="AI29" s="293"/>
      <c r="AJ29" s="293"/>
      <c r="AK29" s="293"/>
      <c r="AL29" s="293"/>
      <c r="AM29" s="293"/>
      <c r="AN29" s="293"/>
      <c r="AO29" s="293"/>
      <c r="AP29" s="293"/>
      <c r="AQ29" s="293"/>
      <c r="AR29" s="293"/>
      <c r="AS29" s="293"/>
      <c r="AT29" s="293"/>
      <c r="AU29" s="293"/>
      <c r="AV29" s="293"/>
      <c r="AW29" s="293"/>
      <c r="AX29" s="293"/>
      <c r="AY29" s="293"/>
      <c r="AZ29" s="293"/>
      <c r="BA29" s="293"/>
      <c r="BB29" s="293"/>
      <c r="BC29" s="293"/>
      <c r="BD29" s="293"/>
      <c r="BE29" s="293"/>
      <c r="BF29" s="293"/>
      <c r="BG29" s="293"/>
      <c r="BH29" s="293"/>
      <c r="BI29" s="293"/>
      <c r="BJ29" s="293"/>
      <c r="BK29" s="293"/>
      <c r="BL29" s="293"/>
      <c r="BM29" s="293"/>
      <c r="BN29" s="293"/>
      <c r="BO29" s="187"/>
      <c r="BP29" s="187"/>
      <c r="BQ29" s="187"/>
      <c r="BR29" s="187"/>
      <c r="BS29" s="187"/>
      <c r="BT29" s="187"/>
      <c r="BU29" s="187"/>
      <c r="BV29" s="187"/>
      <c r="BW29" s="187"/>
      <c r="BX29" s="187"/>
      <c r="BY29" s="187"/>
      <c r="BZ29" s="187"/>
      <c r="CA29" s="187"/>
      <c r="CB29" s="187"/>
      <c r="CC29" s="187"/>
      <c r="CD29" s="187"/>
      <c r="CE29" s="187"/>
      <c r="CF29" s="187"/>
      <c r="CG29" s="187"/>
      <c r="CH29" s="187"/>
      <c r="CI29" s="187"/>
      <c r="CJ29" s="187"/>
      <c r="CK29" s="187"/>
      <c r="CL29" s="187"/>
      <c r="CM29" s="187"/>
      <c r="CN29" s="187"/>
      <c r="CO29" s="187"/>
      <c r="CP29" s="187"/>
      <c r="CQ29" s="187"/>
      <c r="CR29" s="187"/>
      <c r="CS29" s="187"/>
      <c r="CT29" s="187"/>
      <c r="CU29" s="187"/>
      <c r="CV29" s="175"/>
    </row>
    <row r="30" spans="2:100" ht="21.75" customHeight="1">
      <c r="B30" s="174"/>
      <c r="C30" s="187"/>
      <c r="D30" s="187"/>
      <c r="E30" s="187"/>
      <c r="F30" s="187"/>
      <c r="G30" s="187"/>
      <c r="H30" s="187"/>
      <c r="I30" s="187"/>
      <c r="J30" s="187"/>
      <c r="K30" s="187"/>
      <c r="L30" s="187"/>
      <c r="M30" s="187"/>
      <c r="N30" s="187"/>
      <c r="O30" s="187"/>
      <c r="P30" s="187"/>
      <c r="Q30" s="187"/>
      <c r="R30" s="187"/>
      <c r="S30" s="187"/>
      <c r="T30" s="187"/>
      <c r="U30" s="187"/>
      <c r="V30" s="187"/>
      <c r="W30" s="187"/>
      <c r="X30" s="187"/>
      <c r="Y30" s="187"/>
      <c r="Z30" s="187"/>
      <c r="AA30" s="187"/>
      <c r="AB30" s="187"/>
      <c r="AC30" s="187"/>
      <c r="AD30" s="187"/>
      <c r="AE30" s="187"/>
      <c r="AF30" s="187"/>
      <c r="AG30" s="187"/>
      <c r="AH30" s="187"/>
      <c r="AI30" s="187"/>
      <c r="AJ30" s="187"/>
      <c r="AK30" s="187"/>
      <c r="AL30" s="187"/>
      <c r="AM30" s="187"/>
      <c r="AN30" s="187"/>
      <c r="AO30" s="187"/>
      <c r="AP30" s="187"/>
      <c r="AQ30" s="187"/>
      <c r="AR30" s="187"/>
      <c r="AS30" s="187"/>
      <c r="AT30" s="187"/>
      <c r="AU30" s="187"/>
      <c r="AV30" s="187"/>
      <c r="AW30" s="187"/>
      <c r="AX30" s="187"/>
      <c r="AY30" s="187"/>
      <c r="AZ30" s="187"/>
      <c r="BA30" s="187"/>
      <c r="BB30" s="187"/>
      <c r="BC30" s="187"/>
      <c r="BD30" s="187"/>
      <c r="BE30" s="187"/>
      <c r="BF30" s="187"/>
      <c r="BG30" s="187"/>
      <c r="BH30" s="187"/>
      <c r="BI30" s="187"/>
      <c r="BJ30" s="187"/>
      <c r="BK30" s="187"/>
      <c r="BL30" s="187"/>
      <c r="BM30" s="187"/>
      <c r="BN30" s="187"/>
      <c r="BO30" s="187"/>
      <c r="BP30" s="187"/>
      <c r="BQ30" s="187"/>
      <c r="BR30" s="187"/>
      <c r="BS30" s="187"/>
      <c r="BT30" s="187"/>
      <c r="BU30" s="187"/>
      <c r="BV30" s="187"/>
      <c r="BW30" s="187"/>
      <c r="BX30" s="187"/>
      <c r="BY30" s="187"/>
      <c r="BZ30" s="187"/>
      <c r="CA30" s="187"/>
      <c r="CB30" s="187"/>
      <c r="CC30" s="187"/>
      <c r="CD30" s="187"/>
      <c r="CE30" s="187"/>
      <c r="CF30" s="187"/>
      <c r="CG30" s="187"/>
      <c r="CH30" s="187"/>
      <c r="CI30" s="187"/>
      <c r="CJ30" s="187"/>
      <c r="CK30" s="187"/>
      <c r="CL30" s="187"/>
      <c r="CM30" s="187"/>
      <c r="CN30" s="187"/>
      <c r="CO30" s="187"/>
      <c r="CP30" s="187"/>
      <c r="CQ30" s="187"/>
      <c r="CR30" s="187"/>
      <c r="CS30" s="187"/>
      <c r="CT30" s="187"/>
      <c r="CU30" s="187"/>
      <c r="CV30" s="175"/>
    </row>
    <row r="31" spans="2:100" ht="21.75" customHeight="1">
      <c r="B31" s="174"/>
      <c r="C31" s="304" t="s">
        <v>1741</v>
      </c>
      <c r="D31" s="305"/>
      <c r="E31" s="305"/>
      <c r="F31" s="305"/>
      <c r="G31" s="305"/>
      <c r="H31" s="305"/>
      <c r="I31" s="305"/>
      <c r="J31" s="305"/>
      <c r="K31" s="305"/>
      <c r="L31" s="305"/>
      <c r="M31" s="305"/>
      <c r="N31" s="305"/>
      <c r="O31" s="305"/>
      <c r="P31" s="305"/>
      <c r="Q31" s="305"/>
      <c r="R31" s="305"/>
      <c r="S31" s="305"/>
      <c r="T31" s="305"/>
      <c r="U31" s="305"/>
      <c r="V31" s="305"/>
      <c r="W31" s="305"/>
      <c r="X31" s="305"/>
      <c r="Y31" s="305"/>
      <c r="Z31" s="305"/>
      <c r="AA31" s="305"/>
      <c r="AB31" s="305"/>
      <c r="AC31" s="305"/>
      <c r="AD31" s="305"/>
      <c r="AE31" s="305"/>
      <c r="AF31" s="305"/>
      <c r="AG31" s="305"/>
      <c r="AH31" s="305"/>
      <c r="AI31" s="305"/>
      <c r="AJ31" s="305"/>
      <c r="AK31" s="305"/>
      <c r="AL31" s="305"/>
      <c r="AM31" s="305"/>
      <c r="AN31" s="305"/>
      <c r="AO31" s="305"/>
      <c r="AP31" s="305"/>
      <c r="AQ31" s="305"/>
      <c r="AR31" s="305"/>
      <c r="AS31" s="305"/>
      <c r="AT31" s="305"/>
      <c r="AU31" s="305"/>
      <c r="AV31" s="305"/>
      <c r="AW31" s="305"/>
      <c r="AX31" s="305"/>
      <c r="AY31" s="305"/>
      <c r="AZ31" s="305"/>
      <c r="BA31" s="305"/>
      <c r="BB31" s="305"/>
      <c r="BC31" s="305"/>
      <c r="BD31" s="305"/>
      <c r="BE31" s="305"/>
      <c r="BF31" s="305"/>
      <c r="BG31" s="305"/>
      <c r="BH31" s="305"/>
      <c r="BI31" s="165"/>
      <c r="BJ31" s="165"/>
      <c r="BK31" s="165"/>
      <c r="BL31" s="165"/>
      <c r="BM31" s="165"/>
      <c r="BN31" s="165"/>
      <c r="BO31" s="178"/>
      <c r="BP31" s="179"/>
      <c r="BQ31" s="179"/>
      <c r="BR31" s="179"/>
      <c r="BS31" s="179"/>
      <c r="BT31" s="179"/>
      <c r="BU31" s="179"/>
      <c r="BV31" s="179"/>
      <c r="BW31" s="179"/>
      <c r="BX31" s="179"/>
      <c r="BY31" s="179"/>
      <c r="BZ31" s="179"/>
      <c r="CA31" s="179"/>
      <c r="CB31" s="179"/>
      <c r="CC31" s="179"/>
      <c r="CD31" s="179"/>
      <c r="CE31" s="179"/>
      <c r="CF31" s="179"/>
      <c r="CG31" s="179"/>
      <c r="CH31" s="179"/>
      <c r="CI31" s="179"/>
      <c r="CJ31" s="179"/>
      <c r="CK31" s="179"/>
      <c r="CL31" s="179"/>
      <c r="CM31" s="179"/>
      <c r="CN31" s="179"/>
      <c r="CO31" s="179"/>
      <c r="CP31" s="179"/>
      <c r="CQ31" s="179"/>
      <c r="CR31" s="179"/>
      <c r="CS31" s="179"/>
      <c r="CT31" s="179"/>
      <c r="CU31" s="179"/>
      <c r="CV31" s="175"/>
    </row>
    <row r="32" spans="2:100" ht="21.75" customHeight="1">
      <c r="B32" s="174"/>
      <c r="C32" s="287" t="s">
        <v>1643</v>
      </c>
      <c r="D32" s="293"/>
      <c r="E32" s="293"/>
      <c r="F32" s="293"/>
      <c r="G32" s="293"/>
      <c r="H32" s="293"/>
      <c r="I32" s="293"/>
      <c r="J32" s="293"/>
      <c r="K32" s="293"/>
      <c r="L32" s="293"/>
      <c r="M32" s="293"/>
      <c r="N32" s="293"/>
      <c r="O32" s="293"/>
      <c r="P32" s="293"/>
      <c r="Q32" s="293"/>
      <c r="R32" s="293"/>
      <c r="S32" s="293"/>
      <c r="T32" s="293"/>
      <c r="U32" s="293"/>
      <c r="V32" s="293"/>
      <c r="W32" s="293"/>
      <c r="X32" s="293"/>
      <c r="Y32" s="293"/>
      <c r="Z32" s="293"/>
      <c r="AA32" s="293"/>
      <c r="AB32" s="293"/>
      <c r="AC32" s="293"/>
      <c r="AD32" s="293"/>
      <c r="AE32" s="293"/>
      <c r="AF32" s="293"/>
      <c r="AG32" s="293"/>
      <c r="AH32" s="293"/>
      <c r="AI32" s="293"/>
      <c r="AJ32" s="293"/>
      <c r="AK32" s="293"/>
      <c r="AL32" s="293"/>
      <c r="AM32" s="293"/>
      <c r="AN32" s="293"/>
      <c r="AO32" s="293"/>
      <c r="AP32" s="293"/>
      <c r="AQ32" s="293"/>
      <c r="AR32" s="293"/>
      <c r="AS32" s="293"/>
      <c r="AT32" s="293"/>
      <c r="AU32" s="293"/>
      <c r="AV32" s="293"/>
      <c r="AW32" s="293"/>
      <c r="AX32" s="293"/>
      <c r="AY32" s="293"/>
      <c r="AZ32" s="293"/>
      <c r="BA32" s="293"/>
      <c r="BB32" s="293"/>
      <c r="BC32" s="293"/>
      <c r="BD32" s="293"/>
      <c r="BE32" s="293"/>
      <c r="BF32" s="293"/>
      <c r="BG32" s="293"/>
      <c r="BH32" s="293"/>
      <c r="BI32" s="293"/>
      <c r="BJ32" s="293"/>
      <c r="BK32" s="293"/>
      <c r="BL32" s="293"/>
      <c r="BM32" s="293"/>
      <c r="BN32" s="293"/>
      <c r="BO32" s="187"/>
      <c r="BP32" s="187"/>
      <c r="BQ32" s="187"/>
      <c r="BR32" s="187"/>
      <c r="BS32" s="187"/>
      <c r="BT32" s="187"/>
      <c r="BU32" s="187"/>
      <c r="BV32" s="187"/>
      <c r="BW32" s="187"/>
      <c r="BX32" s="187"/>
      <c r="BY32" s="187"/>
      <c r="BZ32" s="187"/>
      <c r="CA32" s="187"/>
      <c r="CB32" s="187"/>
      <c r="CC32" s="187"/>
      <c r="CD32" s="187"/>
      <c r="CE32" s="187"/>
      <c r="CF32" s="187"/>
      <c r="CG32" s="187"/>
      <c r="CH32" s="187"/>
      <c r="CI32" s="187"/>
      <c r="CJ32" s="187"/>
      <c r="CK32" s="187"/>
      <c r="CL32" s="187"/>
      <c r="CM32" s="187"/>
      <c r="CN32" s="187"/>
      <c r="CO32" s="187"/>
      <c r="CP32" s="187"/>
      <c r="CQ32" s="187"/>
      <c r="CR32" s="187"/>
      <c r="CS32" s="187"/>
      <c r="CT32" s="187"/>
      <c r="CU32" s="187"/>
      <c r="CV32" s="175"/>
    </row>
    <row r="33" spans="2:100" ht="21.75" customHeight="1">
      <c r="B33" s="174"/>
      <c r="C33" s="187"/>
      <c r="D33" s="187"/>
      <c r="E33" s="187"/>
      <c r="F33" s="187"/>
      <c r="G33" s="187"/>
      <c r="H33" s="187"/>
      <c r="I33" s="187"/>
      <c r="J33" s="187"/>
      <c r="K33" s="187"/>
      <c r="L33" s="187"/>
      <c r="M33" s="187"/>
      <c r="N33" s="187"/>
      <c r="O33" s="187"/>
      <c r="P33" s="187"/>
      <c r="Q33" s="187"/>
      <c r="R33" s="187"/>
      <c r="S33" s="187"/>
      <c r="T33" s="187"/>
      <c r="U33" s="187"/>
      <c r="V33" s="187"/>
      <c r="W33" s="187"/>
      <c r="X33" s="187"/>
      <c r="Y33" s="187"/>
      <c r="Z33" s="187"/>
      <c r="AA33" s="187"/>
      <c r="AB33" s="187"/>
      <c r="AC33" s="187"/>
      <c r="AD33" s="187"/>
      <c r="AE33" s="187"/>
      <c r="AF33" s="187"/>
      <c r="AG33" s="187"/>
      <c r="AH33" s="187"/>
      <c r="AI33" s="187"/>
      <c r="AJ33" s="187"/>
      <c r="AK33" s="187"/>
      <c r="AL33" s="187"/>
      <c r="AM33" s="187"/>
      <c r="AN33" s="187"/>
      <c r="AO33" s="187"/>
      <c r="AP33" s="187"/>
      <c r="AQ33" s="187"/>
      <c r="AR33" s="187"/>
      <c r="AS33" s="187"/>
      <c r="AT33" s="187"/>
      <c r="AU33" s="187"/>
      <c r="AV33" s="187"/>
      <c r="AW33" s="187"/>
      <c r="AX33" s="187"/>
      <c r="AY33" s="187"/>
      <c r="AZ33" s="187"/>
      <c r="BA33" s="187"/>
      <c r="BB33" s="187"/>
      <c r="BC33" s="187"/>
      <c r="BD33" s="187"/>
      <c r="BE33" s="187"/>
      <c r="BF33" s="187"/>
      <c r="BG33" s="187"/>
      <c r="BH33" s="187"/>
      <c r="BI33" s="187"/>
      <c r="BJ33" s="187"/>
      <c r="BK33" s="187"/>
      <c r="BL33" s="187"/>
      <c r="BM33" s="187"/>
      <c r="BN33" s="187"/>
      <c r="BO33" s="187"/>
      <c r="BP33" s="187"/>
      <c r="BQ33" s="187"/>
      <c r="BR33" s="187"/>
      <c r="BS33" s="187"/>
      <c r="BT33" s="187"/>
      <c r="BU33" s="187"/>
      <c r="BV33" s="187"/>
      <c r="BW33" s="187"/>
      <c r="BX33" s="187"/>
      <c r="BY33" s="187"/>
      <c r="BZ33" s="187"/>
      <c r="CA33" s="187"/>
      <c r="CB33" s="187"/>
      <c r="CC33" s="187"/>
      <c r="CD33" s="187"/>
      <c r="CE33" s="187"/>
      <c r="CF33" s="187"/>
      <c r="CG33" s="187"/>
      <c r="CH33" s="187"/>
      <c r="CI33" s="187"/>
      <c r="CJ33" s="187"/>
      <c r="CK33" s="187"/>
      <c r="CL33" s="187"/>
      <c r="CM33" s="187"/>
      <c r="CN33" s="187"/>
      <c r="CO33" s="187"/>
      <c r="CP33" s="187"/>
      <c r="CQ33" s="187"/>
      <c r="CR33" s="187"/>
      <c r="CS33" s="187"/>
      <c r="CT33" s="187"/>
      <c r="CU33" s="187"/>
      <c r="CV33" s="175"/>
    </row>
    <row r="34" spans="2:100" ht="21.75" customHeight="1">
      <c r="B34" s="174"/>
      <c r="C34" s="304" t="s">
        <v>1742</v>
      </c>
      <c r="D34" s="305"/>
      <c r="E34" s="305"/>
      <c r="F34" s="305"/>
      <c r="G34" s="305"/>
      <c r="H34" s="305"/>
      <c r="I34" s="305"/>
      <c r="J34" s="305"/>
      <c r="K34" s="305"/>
      <c r="L34" s="305"/>
      <c r="M34" s="305"/>
      <c r="N34" s="305"/>
      <c r="O34" s="305"/>
      <c r="P34" s="305"/>
      <c r="Q34" s="305"/>
      <c r="R34" s="305"/>
      <c r="S34" s="305"/>
      <c r="T34" s="305"/>
      <c r="U34" s="305"/>
      <c r="V34" s="305"/>
      <c r="W34" s="305"/>
      <c r="X34" s="305"/>
      <c r="Y34" s="305"/>
      <c r="Z34" s="305"/>
      <c r="AA34" s="305"/>
      <c r="AB34" s="305"/>
      <c r="AC34" s="305"/>
      <c r="AD34" s="305"/>
      <c r="AE34" s="305"/>
      <c r="AF34" s="305"/>
      <c r="AG34" s="305"/>
      <c r="AH34" s="305"/>
      <c r="AI34" s="305"/>
      <c r="AJ34" s="305"/>
      <c r="AK34" s="305"/>
      <c r="AL34" s="305"/>
      <c r="AM34" s="305"/>
      <c r="AN34" s="305"/>
      <c r="AO34" s="305"/>
      <c r="AP34" s="305"/>
      <c r="AQ34" s="305"/>
      <c r="AR34" s="305"/>
      <c r="AS34" s="305"/>
      <c r="AT34" s="305"/>
      <c r="AU34" s="305"/>
      <c r="AV34" s="305"/>
      <c r="AW34" s="305"/>
      <c r="AX34" s="305"/>
      <c r="AY34" s="305"/>
      <c r="AZ34" s="305"/>
      <c r="BA34" s="305"/>
      <c r="BB34" s="305"/>
      <c r="BC34" s="305"/>
      <c r="BD34" s="305"/>
      <c r="BE34" s="305"/>
      <c r="BF34" s="305"/>
      <c r="BG34" s="305"/>
      <c r="BH34" s="305"/>
      <c r="BI34" s="165"/>
      <c r="BJ34" s="165"/>
      <c r="BK34" s="165"/>
      <c r="BL34" s="165"/>
      <c r="BM34" s="165"/>
      <c r="BN34" s="165"/>
      <c r="BO34" s="178"/>
      <c r="BP34" s="179"/>
      <c r="BQ34" s="179"/>
      <c r="BR34" s="179"/>
      <c r="BS34" s="179"/>
      <c r="BT34" s="179"/>
      <c r="BU34" s="179"/>
      <c r="BV34" s="179"/>
      <c r="BW34" s="179"/>
      <c r="BX34" s="179"/>
      <c r="BY34" s="179"/>
      <c r="BZ34" s="179"/>
      <c r="CA34" s="179"/>
      <c r="CB34" s="179"/>
      <c r="CC34" s="179"/>
      <c r="CD34" s="179"/>
      <c r="CE34" s="179"/>
      <c r="CF34" s="179"/>
      <c r="CG34" s="179"/>
      <c r="CH34" s="179"/>
      <c r="CI34" s="179"/>
      <c r="CJ34" s="179"/>
      <c r="CK34" s="179"/>
      <c r="CL34" s="179"/>
      <c r="CM34" s="179"/>
      <c r="CN34" s="179"/>
      <c r="CO34" s="179"/>
      <c r="CP34" s="179"/>
      <c r="CQ34" s="179"/>
      <c r="CR34" s="179"/>
      <c r="CS34" s="179"/>
      <c r="CT34" s="179"/>
      <c r="CU34" s="179"/>
      <c r="CV34" s="175"/>
    </row>
    <row r="35" spans="2:100" ht="21.75" customHeight="1">
      <c r="B35" s="174"/>
      <c r="C35" s="287" t="s">
        <v>1644</v>
      </c>
      <c r="D35" s="293"/>
      <c r="E35" s="293"/>
      <c r="F35" s="293"/>
      <c r="G35" s="293"/>
      <c r="H35" s="293"/>
      <c r="I35" s="293"/>
      <c r="J35" s="293"/>
      <c r="K35" s="293"/>
      <c r="L35" s="293"/>
      <c r="M35" s="293"/>
      <c r="N35" s="293"/>
      <c r="O35" s="293"/>
      <c r="P35" s="293"/>
      <c r="Q35" s="293"/>
      <c r="R35" s="293"/>
      <c r="S35" s="293"/>
      <c r="T35" s="293"/>
      <c r="U35" s="293"/>
      <c r="V35" s="293"/>
      <c r="W35" s="293"/>
      <c r="X35" s="293"/>
      <c r="Y35" s="293"/>
      <c r="Z35" s="293"/>
      <c r="AA35" s="293"/>
      <c r="AB35" s="293"/>
      <c r="AC35" s="293"/>
      <c r="AD35" s="293"/>
      <c r="AE35" s="293"/>
      <c r="AF35" s="293"/>
      <c r="AG35" s="293"/>
      <c r="AH35" s="293"/>
      <c r="AI35" s="293"/>
      <c r="AJ35" s="293"/>
      <c r="AK35" s="293"/>
      <c r="AL35" s="293"/>
      <c r="AM35" s="293"/>
      <c r="AN35" s="293"/>
      <c r="AO35" s="293"/>
      <c r="AP35" s="293"/>
      <c r="AQ35" s="293"/>
      <c r="AR35" s="293"/>
      <c r="AS35" s="293"/>
      <c r="AT35" s="293"/>
      <c r="AU35" s="293"/>
      <c r="AV35" s="293"/>
      <c r="AW35" s="293"/>
      <c r="AX35" s="293"/>
      <c r="AY35" s="293"/>
      <c r="AZ35" s="293"/>
      <c r="BA35" s="293"/>
      <c r="BB35" s="293"/>
      <c r="BC35" s="293"/>
      <c r="BD35" s="293"/>
      <c r="BE35" s="293"/>
      <c r="BF35" s="293"/>
      <c r="BG35" s="293"/>
      <c r="BH35" s="293"/>
      <c r="BI35" s="293"/>
      <c r="BJ35" s="293"/>
      <c r="BK35" s="293"/>
      <c r="BL35" s="293"/>
      <c r="BM35" s="293"/>
      <c r="BN35" s="293"/>
      <c r="BO35" s="187"/>
      <c r="BP35" s="187"/>
      <c r="BQ35" s="187"/>
      <c r="BR35" s="187"/>
      <c r="BS35" s="187"/>
      <c r="BT35" s="187"/>
      <c r="BU35" s="187"/>
      <c r="BV35" s="187"/>
      <c r="BW35" s="187"/>
      <c r="BX35" s="187"/>
      <c r="BY35" s="187"/>
      <c r="BZ35" s="187"/>
      <c r="CA35" s="187"/>
      <c r="CB35" s="187"/>
      <c r="CC35" s="187"/>
      <c r="CD35" s="187"/>
      <c r="CE35" s="187"/>
      <c r="CF35" s="187"/>
      <c r="CG35" s="187"/>
      <c r="CH35" s="187"/>
      <c r="CI35" s="187"/>
      <c r="CJ35" s="187"/>
      <c r="CK35" s="187"/>
      <c r="CL35" s="187"/>
      <c r="CM35" s="187"/>
      <c r="CN35" s="187"/>
      <c r="CO35" s="187"/>
      <c r="CP35" s="187"/>
      <c r="CQ35" s="187"/>
      <c r="CR35" s="187"/>
      <c r="CS35" s="187"/>
      <c r="CT35" s="187"/>
      <c r="CU35" s="187"/>
      <c r="CV35" s="175"/>
    </row>
    <row r="36" spans="2:100" ht="21.75" customHeight="1">
      <c r="B36" s="174"/>
      <c r="C36" s="187"/>
      <c r="D36" s="187"/>
      <c r="E36" s="187"/>
      <c r="F36" s="187"/>
      <c r="G36" s="187"/>
      <c r="H36" s="187"/>
      <c r="I36" s="187"/>
      <c r="J36" s="187"/>
      <c r="K36" s="187"/>
      <c r="L36" s="187"/>
      <c r="M36" s="187"/>
      <c r="N36" s="187"/>
      <c r="O36" s="187"/>
      <c r="P36" s="187"/>
      <c r="Q36" s="187"/>
      <c r="R36" s="187"/>
      <c r="S36" s="187"/>
      <c r="T36" s="187"/>
      <c r="U36" s="187"/>
      <c r="V36" s="187"/>
      <c r="W36" s="187"/>
      <c r="X36" s="187"/>
      <c r="Y36" s="187"/>
      <c r="Z36" s="187"/>
      <c r="AA36" s="187"/>
      <c r="AB36" s="187"/>
      <c r="AC36" s="187"/>
      <c r="AD36" s="187"/>
      <c r="AE36" s="187"/>
      <c r="AF36" s="187"/>
      <c r="AG36" s="187"/>
      <c r="AH36" s="187"/>
      <c r="AI36" s="187"/>
      <c r="AJ36" s="187"/>
      <c r="AK36" s="187"/>
      <c r="AL36" s="187"/>
      <c r="AM36" s="187"/>
      <c r="AN36" s="187"/>
      <c r="AO36" s="187"/>
      <c r="AP36" s="187"/>
      <c r="AQ36" s="187"/>
      <c r="AR36" s="187"/>
      <c r="AS36" s="187"/>
      <c r="AT36" s="187"/>
      <c r="AU36" s="187"/>
      <c r="AV36" s="187"/>
      <c r="AW36" s="187"/>
      <c r="AX36" s="187"/>
      <c r="AY36" s="187"/>
      <c r="AZ36" s="187"/>
      <c r="BA36" s="187"/>
      <c r="BB36" s="187"/>
      <c r="BC36" s="187"/>
      <c r="BD36" s="187"/>
      <c r="BE36" s="187"/>
      <c r="BF36" s="187"/>
      <c r="BG36" s="187"/>
      <c r="BH36" s="187"/>
      <c r="BI36" s="187"/>
      <c r="BJ36" s="187"/>
      <c r="BK36" s="187"/>
      <c r="BL36" s="187"/>
      <c r="BM36" s="187"/>
      <c r="BN36" s="187"/>
      <c r="BO36" s="187"/>
      <c r="BP36" s="187"/>
      <c r="BQ36" s="187"/>
      <c r="BR36" s="187"/>
      <c r="BS36" s="187"/>
      <c r="BT36" s="187"/>
      <c r="BU36" s="187"/>
      <c r="BV36" s="187"/>
      <c r="BW36" s="187"/>
      <c r="BX36" s="187"/>
      <c r="BY36" s="187"/>
      <c r="BZ36" s="187"/>
      <c r="CA36" s="187"/>
      <c r="CB36" s="187"/>
      <c r="CC36" s="187"/>
      <c r="CD36" s="187"/>
      <c r="CE36" s="187"/>
      <c r="CF36" s="187"/>
      <c r="CG36" s="187"/>
      <c r="CH36" s="187"/>
      <c r="CI36" s="187"/>
      <c r="CJ36" s="187"/>
      <c r="CK36" s="187"/>
      <c r="CL36" s="187"/>
      <c r="CM36" s="187"/>
      <c r="CN36" s="187"/>
      <c r="CO36" s="187"/>
      <c r="CP36" s="187"/>
      <c r="CQ36" s="187"/>
      <c r="CR36" s="187"/>
      <c r="CS36" s="187"/>
      <c r="CT36" s="187"/>
      <c r="CU36" s="187"/>
      <c r="CV36" s="175"/>
    </row>
    <row r="37" spans="2:100" ht="21.75" customHeight="1">
      <c r="B37" s="174"/>
      <c r="C37" s="304" t="s">
        <v>1743</v>
      </c>
      <c r="D37" s="305"/>
      <c r="E37" s="305"/>
      <c r="F37" s="305"/>
      <c r="G37" s="305"/>
      <c r="H37" s="305"/>
      <c r="I37" s="305"/>
      <c r="J37" s="305"/>
      <c r="K37" s="305"/>
      <c r="L37" s="305"/>
      <c r="M37" s="305"/>
      <c r="N37" s="305"/>
      <c r="O37" s="305"/>
      <c r="P37" s="305"/>
      <c r="Q37" s="305"/>
      <c r="R37" s="305"/>
      <c r="S37" s="305"/>
      <c r="T37" s="305"/>
      <c r="U37" s="305"/>
      <c r="V37" s="305"/>
      <c r="W37" s="305"/>
      <c r="X37" s="305"/>
      <c r="Y37" s="305"/>
      <c r="Z37" s="305"/>
      <c r="AA37" s="305"/>
      <c r="AB37" s="305"/>
      <c r="AC37" s="305"/>
      <c r="AD37" s="305"/>
      <c r="AE37" s="305"/>
      <c r="AF37" s="305"/>
      <c r="AG37" s="305"/>
      <c r="AH37" s="305"/>
      <c r="AI37" s="305"/>
      <c r="AJ37" s="305"/>
      <c r="AK37" s="305"/>
      <c r="AL37" s="305"/>
      <c r="AM37" s="305"/>
      <c r="AN37" s="305"/>
      <c r="AO37" s="305"/>
      <c r="AP37" s="305"/>
      <c r="AQ37" s="305"/>
      <c r="AR37" s="305"/>
      <c r="AS37" s="305"/>
      <c r="AT37" s="305"/>
      <c r="AU37" s="305"/>
      <c r="AV37" s="305"/>
      <c r="AW37" s="305"/>
      <c r="AX37" s="305"/>
      <c r="AY37" s="305"/>
      <c r="AZ37" s="305"/>
      <c r="BA37" s="305"/>
      <c r="BB37" s="305"/>
      <c r="BC37" s="305"/>
      <c r="BD37" s="305"/>
      <c r="BE37" s="305"/>
      <c r="BF37" s="305"/>
      <c r="BG37" s="305"/>
      <c r="BH37" s="305"/>
      <c r="BI37" s="165"/>
      <c r="BJ37" s="165"/>
      <c r="BK37" s="165"/>
      <c r="BL37" s="165"/>
      <c r="BM37" s="165"/>
      <c r="BN37" s="165"/>
      <c r="BO37" s="178"/>
      <c r="BP37" s="179"/>
      <c r="BQ37" s="179"/>
      <c r="BR37" s="179"/>
      <c r="BS37" s="179"/>
      <c r="BT37" s="179"/>
      <c r="BU37" s="179"/>
      <c r="BV37" s="179"/>
      <c r="BW37" s="179"/>
      <c r="BX37" s="179"/>
      <c r="BY37" s="179"/>
      <c r="BZ37" s="179"/>
      <c r="CA37" s="179"/>
      <c r="CB37" s="179"/>
      <c r="CC37" s="179"/>
      <c r="CD37" s="179"/>
      <c r="CE37" s="179"/>
      <c r="CF37" s="179"/>
      <c r="CG37" s="179"/>
      <c r="CH37" s="179"/>
      <c r="CI37" s="179"/>
      <c r="CJ37" s="179"/>
      <c r="CK37" s="179"/>
      <c r="CL37" s="179"/>
      <c r="CM37" s="179"/>
      <c r="CN37" s="179"/>
      <c r="CO37" s="179"/>
      <c r="CP37" s="179"/>
      <c r="CQ37" s="179"/>
      <c r="CR37" s="179"/>
      <c r="CS37" s="179"/>
      <c r="CT37" s="179"/>
      <c r="CU37" s="179"/>
      <c r="CV37" s="175"/>
    </row>
    <row r="38" spans="2:100" ht="21.75" customHeight="1">
      <c r="B38" s="174"/>
      <c r="C38" s="287" t="s">
        <v>1645</v>
      </c>
      <c r="D38" s="293"/>
      <c r="E38" s="293"/>
      <c r="F38" s="293"/>
      <c r="G38" s="293"/>
      <c r="H38" s="293"/>
      <c r="I38" s="293"/>
      <c r="J38" s="293"/>
      <c r="K38" s="293"/>
      <c r="L38" s="293"/>
      <c r="M38" s="293"/>
      <c r="N38" s="293"/>
      <c r="O38" s="293"/>
      <c r="P38" s="293"/>
      <c r="Q38" s="293"/>
      <c r="R38" s="293"/>
      <c r="S38" s="293"/>
      <c r="T38" s="293"/>
      <c r="U38" s="293"/>
      <c r="V38" s="293"/>
      <c r="W38" s="293"/>
      <c r="X38" s="293"/>
      <c r="Y38" s="293"/>
      <c r="Z38" s="293"/>
      <c r="AA38" s="293"/>
      <c r="AB38" s="293"/>
      <c r="AC38" s="293"/>
      <c r="AD38" s="293"/>
      <c r="AE38" s="293"/>
      <c r="AF38" s="293"/>
      <c r="AG38" s="293"/>
      <c r="AH38" s="293"/>
      <c r="AI38" s="293"/>
      <c r="AJ38" s="293"/>
      <c r="AK38" s="293"/>
      <c r="AL38" s="293"/>
      <c r="AM38" s="293"/>
      <c r="AN38" s="293"/>
      <c r="AO38" s="293"/>
      <c r="AP38" s="293"/>
      <c r="AQ38" s="293"/>
      <c r="AR38" s="293"/>
      <c r="AS38" s="293"/>
      <c r="AT38" s="293"/>
      <c r="AU38" s="293"/>
      <c r="AV38" s="293"/>
      <c r="AW38" s="293"/>
      <c r="AX38" s="293"/>
      <c r="AY38" s="293"/>
      <c r="AZ38" s="293"/>
      <c r="BA38" s="293"/>
      <c r="BB38" s="293"/>
      <c r="BC38" s="293"/>
      <c r="BD38" s="293"/>
      <c r="BE38" s="293"/>
      <c r="BF38" s="293"/>
      <c r="BG38" s="293"/>
      <c r="BH38" s="293"/>
      <c r="BI38" s="293"/>
      <c r="BJ38" s="293"/>
      <c r="BK38" s="293"/>
      <c r="BL38" s="293"/>
      <c r="BM38" s="293"/>
      <c r="BN38" s="293"/>
      <c r="BO38" s="187"/>
      <c r="BP38" s="187"/>
      <c r="BQ38" s="187"/>
      <c r="BR38" s="187"/>
      <c r="BS38" s="187"/>
      <c r="BT38" s="187"/>
      <c r="BU38" s="187"/>
      <c r="BV38" s="187"/>
      <c r="BW38" s="187"/>
      <c r="BX38" s="187"/>
      <c r="BY38" s="187"/>
      <c r="BZ38" s="187"/>
      <c r="CA38" s="187"/>
      <c r="CB38" s="187"/>
      <c r="CC38" s="187"/>
      <c r="CD38" s="187"/>
      <c r="CE38" s="187"/>
      <c r="CF38" s="187"/>
      <c r="CG38" s="187"/>
      <c r="CH38" s="187"/>
      <c r="CI38" s="187"/>
      <c r="CJ38" s="187"/>
      <c r="CK38" s="187"/>
      <c r="CL38" s="187"/>
      <c r="CM38" s="187"/>
      <c r="CN38" s="187"/>
      <c r="CO38" s="187"/>
      <c r="CP38" s="187"/>
      <c r="CQ38" s="187"/>
      <c r="CR38" s="187"/>
      <c r="CS38" s="187"/>
      <c r="CT38" s="187"/>
      <c r="CU38" s="187"/>
      <c r="CV38" s="175"/>
    </row>
    <row r="39" spans="2:100" ht="21.75" customHeight="1">
      <c r="B39" s="174"/>
      <c r="C39" s="187"/>
      <c r="D39" s="187"/>
      <c r="E39" s="187"/>
      <c r="F39" s="187"/>
      <c r="G39" s="187"/>
      <c r="H39" s="187"/>
      <c r="I39" s="187"/>
      <c r="J39" s="187"/>
      <c r="K39" s="187"/>
      <c r="L39" s="187"/>
      <c r="M39" s="187"/>
      <c r="N39" s="187"/>
      <c r="O39" s="187"/>
      <c r="P39" s="187"/>
      <c r="Q39" s="187"/>
      <c r="R39" s="187"/>
      <c r="S39" s="187"/>
      <c r="T39" s="187"/>
      <c r="U39" s="187"/>
      <c r="V39" s="187"/>
      <c r="W39" s="187"/>
      <c r="X39" s="187"/>
      <c r="Y39" s="187"/>
      <c r="Z39" s="187"/>
      <c r="AA39" s="187"/>
      <c r="AB39" s="187"/>
      <c r="AC39" s="187"/>
      <c r="AD39" s="187"/>
      <c r="AE39" s="187"/>
      <c r="AF39" s="187"/>
      <c r="AG39" s="187"/>
      <c r="AH39" s="187"/>
      <c r="AI39" s="187"/>
      <c r="AJ39" s="187"/>
      <c r="AK39" s="187"/>
      <c r="AL39" s="187"/>
      <c r="AM39" s="187"/>
      <c r="AN39" s="187"/>
      <c r="AO39" s="187"/>
      <c r="AP39" s="187"/>
      <c r="AQ39" s="187"/>
      <c r="AR39" s="187"/>
      <c r="AS39" s="187"/>
      <c r="AT39" s="187"/>
      <c r="AU39" s="187"/>
      <c r="AV39" s="187"/>
      <c r="AW39" s="187"/>
      <c r="AX39" s="187"/>
      <c r="AY39" s="187"/>
      <c r="AZ39" s="187"/>
      <c r="BA39" s="187"/>
      <c r="BB39" s="187"/>
      <c r="BC39" s="187"/>
      <c r="BD39" s="187"/>
      <c r="BE39" s="187"/>
      <c r="BF39" s="187"/>
      <c r="BG39" s="187"/>
      <c r="BH39" s="187"/>
      <c r="BI39" s="187"/>
      <c r="BJ39" s="187"/>
      <c r="BK39" s="187"/>
      <c r="BL39" s="187"/>
      <c r="BM39" s="187"/>
      <c r="BN39" s="187"/>
      <c r="BO39" s="187"/>
      <c r="BP39" s="187"/>
      <c r="BQ39" s="187"/>
      <c r="BR39" s="187"/>
      <c r="BS39" s="187"/>
      <c r="BT39" s="187"/>
      <c r="BU39" s="187"/>
      <c r="BV39" s="187"/>
      <c r="BW39" s="187"/>
      <c r="BX39" s="187"/>
      <c r="BY39" s="187"/>
      <c r="BZ39" s="187"/>
      <c r="CA39" s="187"/>
      <c r="CB39" s="187"/>
      <c r="CC39" s="187"/>
      <c r="CD39" s="187"/>
      <c r="CE39" s="187"/>
      <c r="CF39" s="187"/>
      <c r="CG39" s="187"/>
      <c r="CH39" s="187"/>
      <c r="CI39" s="187"/>
      <c r="CJ39" s="187"/>
      <c r="CK39" s="187"/>
      <c r="CL39" s="187"/>
      <c r="CM39" s="187"/>
      <c r="CN39" s="187"/>
      <c r="CO39" s="187"/>
      <c r="CP39" s="187"/>
      <c r="CQ39" s="187"/>
      <c r="CR39" s="187"/>
      <c r="CS39" s="187"/>
      <c r="CT39" s="187"/>
      <c r="CU39" s="187"/>
      <c r="CV39" s="175"/>
    </row>
    <row r="40" spans="2:100" ht="21.75" customHeight="1">
      <c r="B40" s="174"/>
      <c r="C40" s="304" t="s">
        <v>1744</v>
      </c>
      <c r="D40" s="305"/>
      <c r="E40" s="305"/>
      <c r="F40" s="305"/>
      <c r="G40" s="305"/>
      <c r="H40" s="305"/>
      <c r="I40" s="305"/>
      <c r="J40" s="305"/>
      <c r="K40" s="305"/>
      <c r="L40" s="305"/>
      <c r="M40" s="305"/>
      <c r="N40" s="305"/>
      <c r="O40" s="305"/>
      <c r="P40" s="305"/>
      <c r="Q40" s="305"/>
      <c r="R40" s="305"/>
      <c r="S40" s="305"/>
      <c r="T40" s="305"/>
      <c r="U40" s="305"/>
      <c r="V40" s="305"/>
      <c r="W40" s="305"/>
      <c r="X40" s="305"/>
      <c r="Y40" s="305"/>
      <c r="Z40" s="305"/>
      <c r="AA40" s="305"/>
      <c r="AB40" s="305"/>
      <c r="AC40" s="305"/>
      <c r="AD40" s="305"/>
      <c r="AE40" s="305"/>
      <c r="AF40" s="305"/>
      <c r="AG40" s="305"/>
      <c r="AH40" s="305"/>
      <c r="AI40" s="305"/>
      <c r="AJ40" s="305"/>
      <c r="AK40" s="305"/>
      <c r="AL40" s="305"/>
      <c r="AM40" s="305"/>
      <c r="AN40" s="305"/>
      <c r="AO40" s="305"/>
      <c r="AP40" s="305"/>
      <c r="AQ40" s="305"/>
      <c r="AR40" s="305"/>
      <c r="AS40" s="305"/>
      <c r="AT40" s="305"/>
      <c r="AU40" s="305"/>
      <c r="AV40" s="305"/>
      <c r="AW40" s="305"/>
      <c r="AX40" s="305"/>
      <c r="AY40" s="305"/>
      <c r="AZ40" s="305"/>
      <c r="BA40" s="305"/>
      <c r="BB40" s="305"/>
      <c r="BC40" s="305"/>
      <c r="BD40" s="305"/>
      <c r="BE40" s="305"/>
      <c r="BF40" s="305"/>
      <c r="BG40" s="305"/>
      <c r="BH40" s="305"/>
      <c r="BI40" s="165"/>
      <c r="BJ40" s="165"/>
      <c r="BK40" s="165"/>
      <c r="BL40" s="165"/>
      <c r="BM40" s="165"/>
      <c r="BN40" s="165"/>
      <c r="BO40" s="178"/>
      <c r="BP40" s="179"/>
      <c r="BQ40" s="179"/>
      <c r="BR40" s="179"/>
      <c r="BS40" s="179"/>
      <c r="BT40" s="179"/>
      <c r="BU40" s="179"/>
      <c r="BV40" s="179"/>
      <c r="BW40" s="179"/>
      <c r="BX40" s="179"/>
      <c r="BY40" s="179"/>
      <c r="BZ40" s="179"/>
      <c r="CA40" s="179"/>
      <c r="CB40" s="179"/>
      <c r="CC40" s="179"/>
      <c r="CD40" s="179"/>
      <c r="CE40" s="179"/>
      <c r="CF40" s="179"/>
      <c r="CG40" s="179"/>
      <c r="CH40" s="179"/>
      <c r="CI40" s="179"/>
      <c r="CJ40" s="179"/>
      <c r="CK40" s="179"/>
      <c r="CL40" s="179"/>
      <c r="CM40" s="179"/>
      <c r="CN40" s="179"/>
      <c r="CO40" s="179"/>
      <c r="CP40" s="179"/>
      <c r="CQ40" s="179"/>
      <c r="CR40" s="179"/>
      <c r="CS40" s="179"/>
      <c r="CT40" s="179"/>
      <c r="CU40" s="179"/>
      <c r="CV40" s="175"/>
    </row>
    <row r="41" spans="2:100" ht="21.75" customHeight="1">
      <c r="B41" s="174"/>
      <c r="C41" s="287" t="s">
        <v>1646</v>
      </c>
      <c r="D41" s="293"/>
      <c r="E41" s="293"/>
      <c r="F41" s="293"/>
      <c r="G41" s="293"/>
      <c r="H41" s="293"/>
      <c r="I41" s="293"/>
      <c r="J41" s="293"/>
      <c r="K41" s="293"/>
      <c r="L41" s="293"/>
      <c r="M41" s="293"/>
      <c r="N41" s="293"/>
      <c r="O41" s="293"/>
      <c r="P41" s="293"/>
      <c r="Q41" s="293"/>
      <c r="R41" s="293"/>
      <c r="S41" s="293"/>
      <c r="T41" s="293"/>
      <c r="U41" s="293"/>
      <c r="V41" s="293"/>
      <c r="W41" s="293"/>
      <c r="X41" s="293"/>
      <c r="Y41" s="293"/>
      <c r="Z41" s="293"/>
      <c r="AA41" s="293"/>
      <c r="AB41" s="293"/>
      <c r="AC41" s="293"/>
      <c r="AD41" s="293"/>
      <c r="AE41" s="293"/>
      <c r="AF41" s="293"/>
      <c r="AG41" s="293"/>
      <c r="AH41" s="293"/>
      <c r="AI41" s="293"/>
      <c r="AJ41" s="293"/>
      <c r="AK41" s="293"/>
      <c r="AL41" s="293"/>
      <c r="AM41" s="293"/>
      <c r="AN41" s="293"/>
      <c r="AO41" s="293"/>
      <c r="AP41" s="293"/>
      <c r="AQ41" s="293"/>
      <c r="AR41" s="293"/>
      <c r="AS41" s="293"/>
      <c r="AT41" s="293"/>
      <c r="AU41" s="293"/>
      <c r="AV41" s="293"/>
      <c r="AW41" s="293"/>
      <c r="AX41" s="293"/>
      <c r="AY41" s="293"/>
      <c r="AZ41" s="293"/>
      <c r="BA41" s="293"/>
      <c r="BB41" s="293"/>
      <c r="BC41" s="293"/>
      <c r="BD41" s="293"/>
      <c r="BE41" s="293"/>
      <c r="BF41" s="293"/>
      <c r="BG41" s="293"/>
      <c r="BH41" s="293"/>
      <c r="BI41" s="293"/>
      <c r="BJ41" s="293"/>
      <c r="BK41" s="293"/>
      <c r="BL41" s="293"/>
      <c r="BM41" s="293"/>
      <c r="BN41" s="293"/>
      <c r="BO41" s="187"/>
      <c r="BP41" s="187"/>
      <c r="BQ41" s="187"/>
      <c r="BR41" s="187"/>
      <c r="BS41" s="187"/>
      <c r="BT41" s="187"/>
      <c r="BU41" s="187"/>
      <c r="BV41" s="187"/>
      <c r="BW41" s="187"/>
      <c r="BX41" s="187"/>
      <c r="BY41" s="187"/>
      <c r="BZ41" s="187"/>
      <c r="CA41" s="187"/>
      <c r="CB41" s="187"/>
      <c r="CC41" s="187"/>
      <c r="CD41" s="187"/>
      <c r="CE41" s="187"/>
      <c r="CF41" s="187"/>
      <c r="CG41" s="187"/>
      <c r="CH41" s="187"/>
      <c r="CI41" s="187"/>
      <c r="CJ41" s="187"/>
      <c r="CK41" s="187"/>
      <c r="CL41" s="187"/>
      <c r="CM41" s="187"/>
      <c r="CN41" s="187"/>
      <c r="CO41" s="187"/>
      <c r="CP41" s="187"/>
      <c r="CQ41" s="187"/>
      <c r="CR41" s="187"/>
      <c r="CS41" s="187"/>
      <c r="CT41" s="187"/>
      <c r="CU41" s="187"/>
      <c r="CV41" s="175"/>
    </row>
    <row r="42" spans="2:100" ht="21.75" customHeight="1">
      <c r="B42" s="174"/>
      <c r="C42" s="187"/>
      <c r="D42" s="187"/>
      <c r="E42" s="187"/>
      <c r="F42" s="187"/>
      <c r="G42" s="187"/>
      <c r="H42" s="187"/>
      <c r="I42" s="187"/>
      <c r="J42" s="187"/>
      <c r="K42" s="187"/>
      <c r="L42" s="187"/>
      <c r="M42" s="187"/>
      <c r="N42" s="187"/>
      <c r="O42" s="187"/>
      <c r="P42" s="187"/>
      <c r="Q42" s="187"/>
      <c r="R42" s="187"/>
      <c r="S42" s="187"/>
      <c r="T42" s="187"/>
      <c r="U42" s="187"/>
      <c r="V42" s="187"/>
      <c r="W42" s="187"/>
      <c r="X42" s="187"/>
      <c r="Y42" s="187"/>
      <c r="Z42" s="187"/>
      <c r="AA42" s="187"/>
      <c r="AB42" s="187"/>
      <c r="AC42" s="187"/>
      <c r="AD42" s="187"/>
      <c r="AE42" s="187"/>
      <c r="AF42" s="187"/>
      <c r="AG42" s="187"/>
      <c r="AH42" s="187"/>
      <c r="AI42" s="187"/>
      <c r="AJ42" s="187"/>
      <c r="AK42" s="187"/>
      <c r="AL42" s="187"/>
      <c r="AM42" s="187"/>
      <c r="AN42" s="187"/>
      <c r="AO42" s="187"/>
      <c r="AP42" s="187"/>
      <c r="AQ42" s="187"/>
      <c r="AR42" s="187"/>
      <c r="AS42" s="187"/>
      <c r="AT42" s="187"/>
      <c r="AU42" s="187"/>
      <c r="AV42" s="187"/>
      <c r="AW42" s="187"/>
      <c r="AX42" s="187"/>
      <c r="AY42" s="187"/>
      <c r="AZ42" s="187"/>
      <c r="BA42" s="187"/>
      <c r="BB42" s="187"/>
      <c r="BC42" s="187"/>
      <c r="BD42" s="187"/>
      <c r="BE42" s="187"/>
      <c r="BF42" s="187"/>
      <c r="BG42" s="187"/>
      <c r="BH42" s="187"/>
      <c r="BI42" s="187"/>
      <c r="BJ42" s="187"/>
      <c r="BK42" s="187"/>
      <c r="BL42" s="187"/>
      <c r="BM42" s="187"/>
      <c r="BN42" s="187"/>
      <c r="BO42" s="187"/>
      <c r="BP42" s="187"/>
      <c r="BQ42" s="187"/>
      <c r="BR42" s="187"/>
      <c r="BS42" s="187"/>
      <c r="BT42" s="187"/>
      <c r="BU42" s="187"/>
      <c r="BV42" s="187"/>
      <c r="BW42" s="187"/>
      <c r="BX42" s="187"/>
      <c r="BY42" s="187"/>
      <c r="BZ42" s="187"/>
      <c r="CA42" s="187"/>
      <c r="CB42" s="187"/>
      <c r="CC42" s="187"/>
      <c r="CD42" s="187"/>
      <c r="CE42" s="187"/>
      <c r="CF42" s="187"/>
      <c r="CG42" s="187"/>
      <c r="CH42" s="187"/>
      <c r="CI42" s="187"/>
      <c r="CJ42" s="187"/>
      <c r="CK42" s="187"/>
      <c r="CL42" s="187"/>
      <c r="CM42" s="187"/>
      <c r="CN42" s="187"/>
      <c r="CO42" s="187"/>
      <c r="CP42" s="187"/>
      <c r="CQ42" s="187"/>
      <c r="CR42" s="187"/>
      <c r="CS42" s="187"/>
      <c r="CT42" s="187"/>
      <c r="CU42" s="187"/>
      <c r="CV42" s="175"/>
    </row>
    <row r="43" spans="2:100" ht="21.75" customHeight="1">
      <c r="B43" s="174"/>
      <c r="C43" s="172"/>
      <c r="D43" s="172"/>
      <c r="E43" s="172"/>
      <c r="F43" s="172"/>
      <c r="G43" s="172"/>
      <c r="H43" s="172"/>
      <c r="I43" s="172"/>
      <c r="J43" s="172"/>
      <c r="K43" s="172"/>
      <c r="L43" s="172"/>
      <c r="M43" s="172"/>
      <c r="N43" s="172"/>
      <c r="O43" s="172"/>
      <c r="P43" s="172"/>
      <c r="Q43" s="172"/>
      <c r="R43" s="172"/>
      <c r="S43" s="172"/>
      <c r="T43" s="172"/>
      <c r="U43" s="172"/>
      <c r="V43" s="172"/>
      <c r="W43" s="172"/>
      <c r="X43" s="172"/>
      <c r="Y43" s="172"/>
      <c r="Z43" s="172"/>
      <c r="AA43" s="172"/>
      <c r="AB43" s="172"/>
      <c r="AC43" s="172"/>
      <c r="AD43" s="172"/>
      <c r="AE43" s="172"/>
      <c r="AF43" s="172"/>
      <c r="AG43" s="172"/>
      <c r="AH43" s="172"/>
      <c r="AI43" s="172"/>
      <c r="AJ43" s="172"/>
      <c r="AK43" s="172"/>
      <c r="AL43" s="172"/>
      <c r="AM43" s="172"/>
      <c r="AN43" s="172"/>
      <c r="AO43" s="172"/>
      <c r="AP43" s="172"/>
      <c r="AQ43" s="172"/>
      <c r="AR43" s="172"/>
      <c r="AS43" s="172"/>
      <c r="AT43" s="172"/>
      <c r="AU43" s="172"/>
      <c r="AV43" s="172"/>
      <c r="AW43" s="172"/>
      <c r="AX43" s="172"/>
      <c r="AY43" s="172"/>
      <c r="AZ43" s="172"/>
      <c r="BA43" s="172"/>
      <c r="BB43" s="172"/>
      <c r="BC43" s="172"/>
      <c r="BD43" s="172"/>
      <c r="BE43" s="172"/>
      <c r="BF43" s="172"/>
      <c r="BG43" s="172"/>
      <c r="BH43" s="172"/>
      <c r="BI43" s="172"/>
      <c r="BJ43" s="172"/>
      <c r="BK43" s="172"/>
      <c r="BL43" s="172"/>
      <c r="BM43" s="172"/>
      <c r="BN43" s="172"/>
      <c r="BO43" s="172"/>
      <c r="BP43" s="172"/>
      <c r="BQ43" s="172"/>
      <c r="BR43" s="172"/>
      <c r="BS43" s="172"/>
      <c r="BT43" s="172"/>
      <c r="BU43" s="172"/>
      <c r="BV43" s="172"/>
      <c r="BW43" s="172"/>
      <c r="BX43" s="172"/>
      <c r="BY43" s="172"/>
      <c r="BZ43" s="172"/>
      <c r="CA43" s="172"/>
      <c r="CB43" s="172"/>
      <c r="CC43" s="172"/>
      <c r="CD43" s="172"/>
      <c r="CE43" s="172"/>
      <c r="CF43" s="172"/>
      <c r="CG43" s="172"/>
      <c r="CH43" s="172"/>
      <c r="CI43" s="172"/>
      <c r="CJ43" s="172"/>
      <c r="CK43" s="172"/>
      <c r="CL43" s="172"/>
      <c r="CM43" s="172"/>
      <c r="CN43" s="172"/>
      <c r="CO43" s="172"/>
      <c r="CP43" s="172"/>
      <c r="CQ43" s="172"/>
      <c r="CR43" s="172"/>
      <c r="CS43" s="172"/>
      <c r="CT43" s="172"/>
      <c r="CU43" s="172"/>
      <c r="CV43" s="175"/>
    </row>
    <row r="44" spans="2:100" ht="21.75" customHeight="1">
      <c r="B44" s="174"/>
      <c r="C44" s="172"/>
      <c r="D44" s="172"/>
      <c r="E44" s="172"/>
      <c r="F44" s="172"/>
      <c r="G44" s="172"/>
      <c r="H44" s="172"/>
      <c r="I44" s="172"/>
      <c r="J44" s="172"/>
      <c r="K44" s="172"/>
      <c r="L44" s="172"/>
      <c r="M44" s="172"/>
      <c r="N44" s="172"/>
      <c r="O44" s="172"/>
      <c r="P44" s="172"/>
      <c r="Q44" s="172"/>
      <c r="R44" s="172"/>
      <c r="S44" s="172"/>
      <c r="T44" s="172"/>
      <c r="U44" s="172"/>
      <c r="V44" s="172"/>
      <c r="W44" s="172"/>
      <c r="X44" s="172"/>
      <c r="Y44" s="172"/>
      <c r="Z44" s="172"/>
      <c r="AA44" s="172"/>
      <c r="AB44" s="172"/>
      <c r="AC44" s="172"/>
      <c r="AD44" s="172"/>
      <c r="AE44" s="172"/>
      <c r="AF44" s="172"/>
      <c r="AG44" s="172"/>
      <c r="AH44" s="172"/>
      <c r="AI44" s="172"/>
      <c r="AJ44" s="172"/>
      <c r="AK44" s="172"/>
      <c r="AL44" s="172"/>
      <c r="AM44" s="172"/>
      <c r="AN44" s="172"/>
      <c r="AO44" s="172"/>
      <c r="AP44" s="172"/>
      <c r="AQ44" s="172"/>
      <c r="AR44" s="172"/>
      <c r="AS44" s="172"/>
      <c r="AT44" s="172"/>
      <c r="AU44" s="172"/>
      <c r="AV44" s="172"/>
      <c r="AW44" s="172"/>
      <c r="AX44" s="172"/>
      <c r="AY44" s="172"/>
      <c r="AZ44" s="172"/>
      <c r="BA44" s="172"/>
      <c r="BB44" s="172"/>
      <c r="BC44" s="172"/>
      <c r="BD44" s="172"/>
      <c r="BE44" s="172"/>
      <c r="BF44" s="172"/>
      <c r="BG44" s="172"/>
      <c r="BH44" s="172"/>
      <c r="BI44" s="172"/>
      <c r="BJ44" s="172"/>
      <c r="BK44" s="172"/>
      <c r="BL44" s="172"/>
      <c r="BM44" s="172"/>
      <c r="BN44" s="172"/>
      <c r="BO44" s="172"/>
      <c r="BP44" s="172"/>
      <c r="BQ44" s="172"/>
      <c r="BR44" s="172"/>
      <c r="BS44" s="172"/>
      <c r="BT44" s="172"/>
      <c r="BU44" s="172"/>
      <c r="BV44" s="172"/>
      <c r="BW44" s="172"/>
      <c r="BX44" s="172"/>
      <c r="BY44" s="172"/>
      <c r="BZ44" s="172"/>
      <c r="CA44" s="172"/>
      <c r="CB44" s="172"/>
      <c r="CC44" s="172"/>
      <c r="CD44" s="172"/>
      <c r="CE44" s="172"/>
      <c r="CF44" s="172"/>
      <c r="CG44" s="172"/>
      <c r="CH44" s="172"/>
      <c r="CI44" s="172"/>
      <c r="CJ44" s="172"/>
      <c r="CK44" s="172"/>
      <c r="CL44" s="172"/>
      <c r="CM44" s="172"/>
      <c r="CN44" s="172"/>
      <c r="CO44" s="172"/>
      <c r="CP44" s="172"/>
      <c r="CQ44" s="172"/>
      <c r="CR44" s="172"/>
      <c r="CS44" s="172"/>
      <c r="CT44" s="172"/>
      <c r="CU44" s="172"/>
      <c r="CV44" s="175"/>
    </row>
    <row r="45" spans="2:100" ht="21.75" customHeight="1">
      <c r="B45" s="174"/>
      <c r="C45" s="172"/>
      <c r="D45" s="172"/>
      <c r="E45" s="172"/>
      <c r="F45" s="172"/>
      <c r="G45" s="172"/>
      <c r="H45" s="172"/>
      <c r="I45" s="172"/>
      <c r="J45" s="172"/>
      <c r="K45" s="172"/>
      <c r="L45" s="172"/>
      <c r="M45" s="172"/>
      <c r="N45" s="172"/>
      <c r="O45" s="172"/>
      <c r="P45" s="172"/>
      <c r="Q45" s="172"/>
      <c r="R45" s="172"/>
      <c r="S45" s="172"/>
      <c r="T45" s="172"/>
      <c r="U45" s="172"/>
      <c r="V45" s="172"/>
      <c r="W45" s="172"/>
      <c r="X45" s="172"/>
      <c r="Y45" s="172"/>
      <c r="Z45" s="172"/>
      <c r="AA45" s="172"/>
      <c r="AB45" s="172"/>
      <c r="AC45" s="172"/>
      <c r="AD45" s="172"/>
      <c r="AE45" s="172"/>
      <c r="AF45" s="172"/>
      <c r="AG45" s="172"/>
      <c r="AH45" s="172"/>
      <c r="AI45" s="172"/>
      <c r="AJ45" s="172"/>
      <c r="AK45" s="172"/>
      <c r="AL45" s="172"/>
      <c r="AM45" s="172"/>
      <c r="AN45" s="172"/>
      <c r="AO45" s="172"/>
      <c r="AP45" s="172"/>
      <c r="AQ45" s="172"/>
      <c r="AR45" s="172"/>
      <c r="AS45" s="172"/>
      <c r="AT45" s="172"/>
      <c r="AU45" s="172"/>
      <c r="AV45" s="172"/>
      <c r="AW45" s="172"/>
      <c r="AX45" s="172"/>
      <c r="AY45" s="172"/>
      <c r="AZ45" s="172"/>
      <c r="BA45" s="172"/>
      <c r="BB45" s="172"/>
      <c r="BC45" s="172"/>
      <c r="BD45" s="172"/>
      <c r="BE45" s="172"/>
      <c r="BF45" s="172"/>
      <c r="BG45" s="172"/>
      <c r="BH45" s="172"/>
      <c r="BI45" s="172"/>
      <c r="BJ45" s="172"/>
      <c r="BK45" s="172"/>
      <c r="BL45" s="172"/>
      <c r="BM45" s="172"/>
      <c r="BN45" s="172"/>
      <c r="BO45" s="172"/>
      <c r="BP45" s="172"/>
      <c r="BQ45" s="172"/>
      <c r="BR45" s="172"/>
      <c r="BS45" s="172"/>
      <c r="BT45" s="172"/>
      <c r="BU45" s="172"/>
      <c r="BV45" s="172"/>
      <c r="BW45" s="172"/>
      <c r="BX45" s="172"/>
      <c r="BY45" s="172"/>
      <c r="BZ45" s="172"/>
      <c r="CA45" s="172"/>
      <c r="CB45" s="172"/>
      <c r="CC45" s="172"/>
      <c r="CD45" s="172"/>
      <c r="CE45" s="172"/>
      <c r="CF45" s="172"/>
      <c r="CG45" s="172"/>
      <c r="CH45" s="172"/>
      <c r="CI45" s="172"/>
      <c r="CJ45" s="172"/>
      <c r="CK45" s="172"/>
      <c r="CL45" s="172"/>
      <c r="CM45" s="172"/>
      <c r="CN45" s="172"/>
      <c r="CO45" s="172"/>
      <c r="CP45" s="172"/>
      <c r="CQ45" s="172"/>
      <c r="CR45" s="172"/>
      <c r="CS45" s="172"/>
      <c r="CT45" s="172"/>
      <c r="CU45" s="172"/>
      <c r="CV45" s="175"/>
    </row>
    <row r="46" spans="2:100" ht="21.75" customHeight="1">
      <c r="B46" s="174"/>
      <c r="C46" s="304" t="s">
        <v>1745</v>
      </c>
      <c r="D46" s="305"/>
      <c r="E46" s="305"/>
      <c r="F46" s="305"/>
      <c r="G46" s="305"/>
      <c r="H46" s="305"/>
      <c r="I46" s="305"/>
      <c r="J46" s="305"/>
      <c r="K46" s="305"/>
      <c r="L46" s="305"/>
      <c r="M46" s="305"/>
      <c r="N46" s="305"/>
      <c r="O46" s="305"/>
      <c r="P46" s="305"/>
      <c r="Q46" s="305"/>
      <c r="R46" s="305"/>
      <c r="S46" s="305"/>
      <c r="T46" s="305"/>
      <c r="U46" s="305"/>
      <c r="V46" s="305"/>
      <c r="W46" s="305"/>
      <c r="X46" s="305"/>
      <c r="Y46" s="305"/>
      <c r="Z46" s="305"/>
      <c r="AA46" s="305"/>
      <c r="AB46" s="305"/>
      <c r="AC46" s="305"/>
      <c r="AD46" s="305"/>
      <c r="AE46" s="305"/>
      <c r="AF46" s="305"/>
      <c r="AG46" s="305"/>
      <c r="AH46" s="305"/>
      <c r="AI46" s="305"/>
      <c r="AJ46" s="305"/>
      <c r="AK46" s="305"/>
      <c r="AL46" s="305"/>
      <c r="AM46" s="305"/>
      <c r="AN46" s="305"/>
      <c r="AO46" s="305"/>
      <c r="AP46" s="305"/>
      <c r="AQ46" s="305"/>
      <c r="AR46" s="305"/>
      <c r="AS46" s="305"/>
      <c r="AT46" s="305"/>
      <c r="AU46" s="305"/>
      <c r="AV46" s="305"/>
      <c r="AW46" s="305"/>
      <c r="AX46" s="305"/>
      <c r="AY46" s="305"/>
      <c r="AZ46" s="305"/>
      <c r="BA46" s="305"/>
      <c r="BB46" s="305"/>
      <c r="BC46" s="305"/>
      <c r="BD46" s="305"/>
      <c r="BE46" s="305"/>
      <c r="BF46" s="305"/>
      <c r="BG46" s="305"/>
      <c r="BH46" s="305"/>
      <c r="BI46" s="165"/>
      <c r="BJ46" s="165"/>
      <c r="BK46" s="165"/>
      <c r="BL46" s="165"/>
      <c r="BM46" s="165"/>
      <c r="BN46" s="165"/>
      <c r="BO46" s="178"/>
      <c r="BP46" s="179"/>
      <c r="BQ46" s="179"/>
      <c r="BR46" s="179"/>
      <c r="BS46" s="179"/>
      <c r="BT46" s="179"/>
      <c r="BU46" s="179"/>
      <c r="BV46" s="179"/>
      <c r="BW46" s="179"/>
      <c r="BX46" s="179"/>
      <c r="BY46" s="179"/>
      <c r="BZ46" s="179"/>
      <c r="CA46" s="179"/>
      <c r="CB46" s="179"/>
      <c r="CC46" s="179"/>
      <c r="CD46" s="179"/>
      <c r="CE46" s="179"/>
      <c r="CF46" s="179"/>
      <c r="CG46" s="179"/>
      <c r="CH46" s="179"/>
      <c r="CI46" s="179"/>
      <c r="CJ46" s="179"/>
      <c r="CK46" s="179"/>
      <c r="CL46" s="179"/>
      <c r="CM46" s="179"/>
      <c r="CN46" s="179"/>
      <c r="CO46" s="179"/>
      <c r="CP46" s="179"/>
      <c r="CQ46" s="179"/>
      <c r="CR46" s="179"/>
      <c r="CS46" s="179"/>
      <c r="CT46" s="179"/>
      <c r="CU46" s="179"/>
      <c r="CV46" s="175"/>
    </row>
    <row r="47" spans="2:100" ht="21.75" customHeight="1">
      <c r="B47" s="174"/>
      <c r="C47" s="287" t="s">
        <v>1656</v>
      </c>
      <c r="D47" s="293"/>
      <c r="E47" s="293"/>
      <c r="F47" s="293"/>
      <c r="G47" s="293"/>
      <c r="H47" s="293"/>
      <c r="I47" s="293"/>
      <c r="J47" s="293"/>
      <c r="K47" s="293"/>
      <c r="L47" s="293"/>
      <c r="M47" s="293"/>
      <c r="N47" s="293"/>
      <c r="O47" s="293"/>
      <c r="P47" s="293"/>
      <c r="Q47" s="293"/>
      <c r="R47" s="293"/>
      <c r="S47" s="293"/>
      <c r="T47" s="293"/>
      <c r="U47" s="293"/>
      <c r="V47" s="293"/>
      <c r="W47" s="293"/>
      <c r="X47" s="293"/>
      <c r="Y47" s="293"/>
      <c r="Z47" s="293"/>
      <c r="AA47" s="293"/>
      <c r="AB47" s="293"/>
      <c r="AC47" s="293"/>
      <c r="AD47" s="293"/>
      <c r="AE47" s="293"/>
      <c r="AF47" s="293"/>
      <c r="AG47" s="293"/>
      <c r="AH47" s="293"/>
      <c r="AI47" s="293"/>
      <c r="AJ47" s="293"/>
      <c r="AK47" s="293"/>
      <c r="AL47" s="293"/>
      <c r="AM47" s="293"/>
      <c r="AN47" s="293"/>
      <c r="AO47" s="293"/>
      <c r="AP47" s="293"/>
      <c r="AQ47" s="293"/>
      <c r="AR47" s="293"/>
      <c r="AS47" s="293"/>
      <c r="AT47" s="293"/>
      <c r="AU47" s="293"/>
      <c r="AV47" s="293"/>
      <c r="AW47" s="293"/>
      <c r="AX47" s="293"/>
      <c r="AY47" s="293"/>
      <c r="AZ47" s="293"/>
      <c r="BA47" s="293"/>
      <c r="BB47" s="293"/>
      <c r="BC47" s="293"/>
      <c r="BD47" s="293"/>
      <c r="BE47" s="293"/>
      <c r="BF47" s="293"/>
      <c r="BG47" s="293"/>
      <c r="BH47" s="293"/>
      <c r="BI47" s="293"/>
      <c r="BJ47" s="293"/>
      <c r="BK47" s="293"/>
      <c r="BL47" s="293"/>
      <c r="BM47" s="293"/>
      <c r="BN47" s="293"/>
      <c r="BO47" s="187"/>
      <c r="BP47" s="187"/>
      <c r="BQ47" s="187"/>
      <c r="BR47" s="187"/>
      <c r="BS47" s="187"/>
      <c r="BT47" s="187"/>
      <c r="BU47" s="187"/>
      <c r="BV47" s="187"/>
      <c r="BW47" s="187"/>
      <c r="BX47" s="187"/>
      <c r="BY47" s="187"/>
      <c r="BZ47" s="187"/>
      <c r="CA47" s="187"/>
      <c r="CB47" s="187"/>
      <c r="CC47" s="187"/>
      <c r="CD47" s="187"/>
      <c r="CE47" s="187"/>
      <c r="CF47" s="187"/>
      <c r="CG47" s="187"/>
      <c r="CH47" s="187"/>
      <c r="CI47" s="187"/>
      <c r="CJ47" s="187"/>
      <c r="CK47" s="187"/>
      <c r="CL47" s="187"/>
      <c r="CM47" s="187"/>
      <c r="CN47" s="187"/>
      <c r="CO47" s="187"/>
      <c r="CP47" s="187"/>
      <c r="CQ47" s="187"/>
      <c r="CR47" s="187"/>
      <c r="CS47" s="187"/>
      <c r="CT47" s="187"/>
      <c r="CU47" s="187"/>
      <c r="CV47" s="175"/>
    </row>
    <row r="48" spans="2:100" ht="21.75" customHeight="1">
      <c r="B48" s="174"/>
      <c r="C48" s="187"/>
      <c r="D48" s="187"/>
      <c r="E48" s="187"/>
      <c r="F48" s="187"/>
      <c r="G48" s="187"/>
      <c r="H48" s="187"/>
      <c r="I48" s="187"/>
      <c r="J48" s="187"/>
      <c r="K48" s="187"/>
      <c r="L48" s="187"/>
      <c r="M48" s="187"/>
      <c r="N48" s="187"/>
      <c r="O48" s="187"/>
      <c r="P48" s="187"/>
      <c r="Q48" s="187"/>
      <c r="R48" s="187"/>
      <c r="S48" s="187"/>
      <c r="T48" s="187"/>
      <c r="U48" s="187"/>
      <c r="V48" s="187"/>
      <c r="W48" s="187"/>
      <c r="X48" s="187"/>
      <c r="Y48" s="187"/>
      <c r="Z48" s="187"/>
      <c r="AA48" s="187"/>
      <c r="AB48" s="187"/>
      <c r="AC48" s="187"/>
      <c r="AD48" s="187"/>
      <c r="AE48" s="187"/>
      <c r="AF48" s="187"/>
      <c r="AG48" s="187"/>
      <c r="AH48" s="187"/>
      <c r="AI48" s="187"/>
      <c r="AJ48" s="187"/>
      <c r="AK48" s="187"/>
      <c r="AL48" s="187"/>
      <c r="AM48" s="187"/>
      <c r="AN48" s="187"/>
      <c r="AO48" s="187"/>
      <c r="AP48" s="187"/>
      <c r="AQ48" s="187"/>
      <c r="AR48" s="187"/>
      <c r="AS48" s="187"/>
      <c r="AT48" s="187"/>
      <c r="AU48" s="187"/>
      <c r="AV48" s="187"/>
      <c r="AW48" s="187"/>
      <c r="AX48" s="187"/>
      <c r="AY48" s="187"/>
      <c r="AZ48" s="187"/>
      <c r="BA48" s="187"/>
      <c r="BB48" s="187"/>
      <c r="BC48" s="187"/>
      <c r="BD48" s="187"/>
      <c r="BE48" s="187"/>
      <c r="BF48" s="187"/>
      <c r="BG48" s="187"/>
      <c r="BH48" s="187"/>
      <c r="BI48" s="187"/>
      <c r="BJ48" s="187"/>
      <c r="BK48" s="187"/>
      <c r="BL48" s="187"/>
      <c r="BM48" s="187"/>
      <c r="BN48" s="187"/>
      <c r="BO48" s="187"/>
      <c r="BP48" s="187"/>
      <c r="BQ48" s="187"/>
      <c r="BR48" s="187"/>
      <c r="BS48" s="187"/>
      <c r="BT48" s="187"/>
      <c r="BU48" s="187"/>
      <c r="BV48" s="187"/>
      <c r="BW48" s="187"/>
      <c r="BX48" s="187"/>
      <c r="BY48" s="187"/>
      <c r="BZ48" s="187"/>
      <c r="CA48" s="187"/>
      <c r="CB48" s="187"/>
      <c r="CC48" s="187"/>
      <c r="CD48" s="187"/>
      <c r="CE48" s="187"/>
      <c r="CF48" s="187"/>
      <c r="CG48" s="187"/>
      <c r="CH48" s="187"/>
      <c r="CI48" s="187"/>
      <c r="CJ48" s="187"/>
      <c r="CK48" s="187"/>
      <c r="CL48" s="187"/>
      <c r="CM48" s="187"/>
      <c r="CN48" s="187"/>
      <c r="CO48" s="187"/>
      <c r="CP48" s="187"/>
      <c r="CQ48" s="187"/>
      <c r="CR48" s="187"/>
      <c r="CS48" s="187"/>
      <c r="CT48" s="187"/>
      <c r="CU48" s="187"/>
      <c r="CV48" s="175"/>
    </row>
    <row r="49" spans="2:100" ht="21.75" customHeight="1">
      <c r="B49" s="174"/>
      <c r="C49" s="187"/>
      <c r="D49" s="187"/>
      <c r="E49" s="187"/>
      <c r="F49" s="187"/>
      <c r="G49" s="187"/>
      <c r="H49" s="187"/>
      <c r="I49" s="187"/>
      <c r="J49" s="187"/>
      <c r="K49" s="187"/>
      <c r="L49" s="187"/>
      <c r="M49" s="187"/>
      <c r="N49" s="187"/>
      <c r="O49" s="187"/>
      <c r="P49" s="187"/>
      <c r="Q49" s="187"/>
      <c r="R49" s="187"/>
      <c r="S49" s="187"/>
      <c r="T49" s="187"/>
      <c r="U49" s="187"/>
      <c r="V49" s="187"/>
      <c r="W49" s="187"/>
      <c r="X49" s="187"/>
      <c r="Y49" s="187"/>
      <c r="Z49" s="187"/>
      <c r="AA49" s="187"/>
      <c r="AB49" s="187"/>
      <c r="AC49" s="187"/>
      <c r="AD49" s="187"/>
      <c r="AE49" s="187"/>
      <c r="AF49" s="187"/>
      <c r="AG49" s="187"/>
      <c r="AH49" s="187"/>
      <c r="AI49" s="187"/>
      <c r="AJ49" s="187"/>
      <c r="AK49" s="187"/>
      <c r="AL49" s="187"/>
      <c r="AM49" s="187"/>
      <c r="AN49" s="187"/>
      <c r="AO49" s="187"/>
      <c r="AP49" s="187"/>
      <c r="AQ49" s="187"/>
      <c r="AR49" s="187"/>
      <c r="AS49" s="187"/>
      <c r="AT49" s="187"/>
      <c r="AU49" s="187"/>
      <c r="AV49" s="187"/>
      <c r="AW49" s="187"/>
      <c r="AX49" s="187"/>
      <c r="AY49" s="187"/>
      <c r="AZ49" s="187"/>
      <c r="BA49" s="187"/>
      <c r="BB49" s="187"/>
      <c r="BC49" s="187"/>
      <c r="BD49" s="187"/>
      <c r="BE49" s="187"/>
      <c r="BF49" s="187"/>
      <c r="BG49" s="187"/>
      <c r="BH49" s="187"/>
      <c r="BI49" s="187"/>
      <c r="BJ49" s="187"/>
      <c r="BK49" s="187"/>
      <c r="BL49" s="187"/>
      <c r="BM49" s="187"/>
      <c r="BN49" s="187"/>
      <c r="BO49" s="187"/>
      <c r="BP49" s="187"/>
      <c r="BQ49" s="187"/>
      <c r="BR49" s="187"/>
      <c r="BS49" s="187"/>
      <c r="BT49" s="187"/>
      <c r="BU49" s="187"/>
      <c r="BV49" s="187"/>
      <c r="BW49" s="187"/>
      <c r="BX49" s="187"/>
      <c r="BY49" s="187"/>
      <c r="BZ49" s="187"/>
      <c r="CA49" s="187"/>
      <c r="CB49" s="187"/>
      <c r="CC49" s="187"/>
      <c r="CD49" s="187"/>
      <c r="CE49" s="187"/>
      <c r="CF49" s="187"/>
      <c r="CG49" s="187"/>
      <c r="CH49" s="187"/>
      <c r="CI49" s="187"/>
      <c r="CJ49" s="187"/>
      <c r="CK49" s="187"/>
      <c r="CL49" s="187"/>
      <c r="CM49" s="187"/>
      <c r="CN49" s="187"/>
      <c r="CO49" s="187"/>
      <c r="CP49" s="187"/>
      <c r="CQ49" s="187"/>
      <c r="CR49" s="187"/>
      <c r="CS49" s="187"/>
      <c r="CT49" s="187"/>
      <c r="CU49" s="187"/>
      <c r="CV49" s="175"/>
    </row>
    <row r="50" spans="2:100" ht="21.75" customHeight="1">
      <c r="B50" s="174"/>
      <c r="C50" s="165"/>
      <c r="D50" s="165"/>
      <c r="E50" s="165"/>
      <c r="F50" s="165"/>
      <c r="G50" s="165"/>
      <c r="H50" s="165"/>
      <c r="I50" s="165"/>
      <c r="J50" s="165"/>
      <c r="K50" s="165"/>
      <c r="L50" s="165"/>
      <c r="M50" s="165"/>
      <c r="N50" s="165"/>
      <c r="O50" s="165"/>
      <c r="P50" s="165"/>
      <c r="Q50" s="165"/>
      <c r="R50" s="165"/>
      <c r="S50" s="165"/>
      <c r="T50" s="165"/>
      <c r="U50" s="165"/>
      <c r="V50" s="165"/>
      <c r="W50" s="165"/>
      <c r="X50" s="165"/>
      <c r="Y50" s="165"/>
      <c r="Z50" s="165"/>
      <c r="AA50" s="165"/>
      <c r="AB50" s="165"/>
      <c r="AC50" s="165"/>
      <c r="AD50" s="165"/>
      <c r="AE50" s="165"/>
      <c r="AF50" s="165"/>
      <c r="AG50" s="165"/>
      <c r="AH50" s="165"/>
      <c r="AI50" s="165"/>
      <c r="AJ50" s="165"/>
      <c r="AK50" s="165"/>
      <c r="AL50" s="165"/>
      <c r="AM50" s="165"/>
      <c r="AN50" s="165"/>
      <c r="AO50" s="165"/>
      <c r="AP50" s="165"/>
      <c r="AQ50" s="165"/>
      <c r="AR50" s="165"/>
      <c r="AS50" s="165"/>
      <c r="AT50" s="165"/>
      <c r="AU50" s="165"/>
      <c r="AV50" s="165"/>
      <c r="AW50" s="165"/>
      <c r="AX50" s="165"/>
      <c r="AY50" s="165"/>
      <c r="AZ50" s="165"/>
      <c r="BA50" s="165"/>
      <c r="BB50" s="165"/>
      <c r="BC50" s="165"/>
      <c r="BD50" s="165"/>
      <c r="BE50" s="165"/>
      <c r="BF50" s="165"/>
      <c r="BG50" s="165"/>
      <c r="BH50" s="165"/>
      <c r="BI50" s="165"/>
      <c r="BJ50" s="165"/>
      <c r="BK50" s="165"/>
      <c r="BL50" s="165"/>
      <c r="BM50" s="165"/>
      <c r="BN50" s="165"/>
      <c r="BO50" s="178"/>
      <c r="BP50" s="179"/>
      <c r="BQ50" s="179"/>
      <c r="BR50" s="179"/>
      <c r="BS50" s="179"/>
      <c r="BT50" s="179"/>
      <c r="BU50" s="179"/>
      <c r="BV50" s="179"/>
      <c r="BW50" s="179"/>
      <c r="BX50" s="179"/>
      <c r="BY50" s="179"/>
      <c r="BZ50" s="179"/>
      <c r="CA50" s="179"/>
      <c r="CB50" s="179"/>
      <c r="CC50" s="179"/>
      <c r="CD50" s="179"/>
      <c r="CE50" s="179"/>
      <c r="CF50" s="179"/>
      <c r="CG50" s="179"/>
      <c r="CH50" s="179"/>
      <c r="CI50" s="179"/>
      <c r="CJ50" s="179"/>
      <c r="CK50" s="179"/>
      <c r="CL50" s="179"/>
      <c r="CM50" s="179"/>
      <c r="CN50" s="179"/>
      <c r="CO50" s="179"/>
      <c r="CP50" s="179"/>
      <c r="CQ50" s="179"/>
      <c r="CR50" s="179"/>
      <c r="CS50" s="179"/>
      <c r="CT50" s="179"/>
      <c r="CU50" s="179"/>
      <c r="CV50" s="175"/>
    </row>
    <row r="51" spans="2:100" ht="21.75" customHeight="1">
      <c r="B51" s="174"/>
      <c r="C51" s="304" t="s">
        <v>1746</v>
      </c>
      <c r="D51" s="305"/>
      <c r="E51" s="305"/>
      <c r="F51" s="305"/>
      <c r="G51" s="305"/>
      <c r="H51" s="305"/>
      <c r="I51" s="305"/>
      <c r="J51" s="305"/>
      <c r="K51" s="305"/>
      <c r="L51" s="305"/>
      <c r="M51" s="305"/>
      <c r="N51" s="305"/>
      <c r="O51" s="305"/>
      <c r="P51" s="305"/>
      <c r="Q51" s="305"/>
      <c r="R51" s="305"/>
      <c r="S51" s="305"/>
      <c r="T51" s="305"/>
      <c r="U51" s="305"/>
      <c r="V51" s="305"/>
      <c r="W51" s="305"/>
      <c r="X51" s="305"/>
      <c r="Y51" s="305"/>
      <c r="Z51" s="305"/>
      <c r="AA51" s="305"/>
      <c r="AB51" s="305"/>
      <c r="AC51" s="305"/>
      <c r="AD51" s="305"/>
      <c r="AE51" s="305"/>
      <c r="AF51" s="305"/>
      <c r="AG51" s="305"/>
      <c r="AH51" s="305"/>
      <c r="AI51" s="305"/>
      <c r="AJ51" s="305"/>
      <c r="AK51" s="305"/>
      <c r="AL51" s="305"/>
      <c r="AM51" s="305"/>
      <c r="AN51" s="305"/>
      <c r="AO51" s="305"/>
      <c r="AP51" s="305"/>
      <c r="AQ51" s="305"/>
      <c r="AR51" s="305"/>
      <c r="AS51" s="305"/>
      <c r="AT51" s="305"/>
      <c r="AU51" s="305"/>
      <c r="AV51" s="305"/>
      <c r="AW51" s="305"/>
      <c r="AX51" s="305"/>
      <c r="AY51" s="305"/>
      <c r="AZ51" s="305"/>
      <c r="BA51" s="305"/>
      <c r="BB51" s="305"/>
      <c r="BC51" s="305"/>
      <c r="BD51" s="305"/>
      <c r="BE51" s="305"/>
      <c r="BF51" s="305"/>
      <c r="BG51" s="305"/>
      <c r="BH51" s="305"/>
      <c r="BI51" s="165"/>
      <c r="BJ51" s="165"/>
      <c r="BK51" s="165"/>
      <c r="BL51" s="165"/>
      <c r="BM51" s="165"/>
      <c r="BN51" s="165"/>
      <c r="BO51" s="178"/>
      <c r="BP51" s="179"/>
      <c r="BQ51" s="179"/>
      <c r="BR51" s="179"/>
      <c r="BS51" s="179"/>
      <c r="BT51" s="179"/>
      <c r="BU51" s="179"/>
      <c r="BV51" s="179"/>
      <c r="BW51" s="179"/>
      <c r="BX51" s="179"/>
      <c r="BY51" s="179"/>
      <c r="BZ51" s="179"/>
      <c r="CA51" s="179"/>
      <c r="CB51" s="179"/>
      <c r="CC51" s="179"/>
      <c r="CD51" s="179"/>
      <c r="CE51" s="179"/>
      <c r="CF51" s="179"/>
      <c r="CG51" s="179"/>
      <c r="CH51" s="179"/>
      <c r="CI51" s="179"/>
      <c r="CJ51" s="179"/>
      <c r="CK51" s="179"/>
      <c r="CL51" s="179"/>
      <c r="CM51" s="179"/>
      <c r="CN51" s="179"/>
      <c r="CO51" s="179"/>
      <c r="CP51" s="179"/>
      <c r="CQ51" s="179"/>
      <c r="CR51" s="179"/>
      <c r="CS51" s="179"/>
      <c r="CT51" s="179"/>
      <c r="CU51" s="179"/>
      <c r="CV51" s="175"/>
    </row>
    <row r="52" spans="2:100" ht="21.75" customHeight="1">
      <c r="B52" s="174"/>
      <c r="C52" s="287" t="s">
        <v>1657</v>
      </c>
      <c r="D52" s="293"/>
      <c r="E52" s="293"/>
      <c r="F52" s="293"/>
      <c r="G52" s="293"/>
      <c r="H52" s="293"/>
      <c r="I52" s="293"/>
      <c r="J52" s="293"/>
      <c r="K52" s="293"/>
      <c r="L52" s="293"/>
      <c r="M52" s="293"/>
      <c r="N52" s="293"/>
      <c r="O52" s="293"/>
      <c r="P52" s="293"/>
      <c r="Q52" s="293"/>
      <c r="R52" s="293"/>
      <c r="S52" s="293"/>
      <c r="T52" s="293"/>
      <c r="U52" s="293"/>
      <c r="V52" s="293"/>
      <c r="W52" s="293"/>
      <c r="X52" s="293"/>
      <c r="Y52" s="293"/>
      <c r="Z52" s="293"/>
      <c r="AA52" s="293"/>
      <c r="AB52" s="293"/>
      <c r="AC52" s="293"/>
      <c r="AD52" s="293"/>
      <c r="AE52" s="293"/>
      <c r="AF52" s="293"/>
      <c r="AG52" s="293"/>
      <c r="AH52" s="293"/>
      <c r="AI52" s="293"/>
      <c r="AJ52" s="293"/>
      <c r="AK52" s="293"/>
      <c r="AL52" s="293"/>
      <c r="AM52" s="293"/>
      <c r="AN52" s="293"/>
      <c r="AO52" s="293"/>
      <c r="AP52" s="293"/>
      <c r="AQ52" s="293"/>
      <c r="AR52" s="293"/>
      <c r="AS52" s="293"/>
      <c r="AT52" s="293"/>
      <c r="AU52" s="293"/>
      <c r="AV52" s="293"/>
      <c r="AW52" s="293"/>
      <c r="AX52" s="293"/>
      <c r="AY52" s="293"/>
      <c r="AZ52" s="293"/>
      <c r="BA52" s="293"/>
      <c r="BB52" s="293"/>
      <c r="BC52" s="293"/>
      <c r="BD52" s="293"/>
      <c r="BE52" s="293"/>
      <c r="BF52" s="293"/>
      <c r="BG52" s="293"/>
      <c r="BH52" s="293"/>
      <c r="BI52" s="293"/>
      <c r="BJ52" s="293"/>
      <c r="BK52" s="293"/>
      <c r="BL52" s="293"/>
      <c r="BM52" s="293"/>
      <c r="BN52" s="293"/>
      <c r="BO52" s="187"/>
      <c r="BP52" s="187"/>
      <c r="BQ52" s="187"/>
      <c r="BR52" s="187"/>
      <c r="BS52" s="187"/>
      <c r="BT52" s="187"/>
      <c r="BU52" s="187"/>
      <c r="BV52" s="187"/>
      <c r="BW52" s="187"/>
      <c r="BX52" s="187"/>
      <c r="BY52" s="187"/>
      <c r="BZ52" s="187"/>
      <c r="CA52" s="187"/>
      <c r="CB52" s="187"/>
      <c r="CC52" s="187"/>
      <c r="CD52" s="187"/>
      <c r="CE52" s="187"/>
      <c r="CF52" s="187"/>
      <c r="CG52" s="187"/>
      <c r="CH52" s="187"/>
      <c r="CI52" s="187"/>
      <c r="CJ52" s="187"/>
      <c r="CK52" s="187"/>
      <c r="CL52" s="187"/>
      <c r="CM52" s="187"/>
      <c r="CN52" s="187"/>
      <c r="CO52" s="187"/>
      <c r="CP52" s="187"/>
      <c r="CQ52" s="187"/>
      <c r="CR52" s="187"/>
      <c r="CS52" s="187"/>
      <c r="CT52" s="187"/>
      <c r="CU52" s="187"/>
      <c r="CV52" s="175"/>
    </row>
    <row r="53" spans="2:100" ht="21.75" customHeight="1">
      <c r="B53" s="174"/>
      <c r="C53" s="187"/>
      <c r="D53" s="187"/>
      <c r="E53" s="187"/>
      <c r="F53" s="187"/>
      <c r="G53" s="187"/>
      <c r="H53" s="187"/>
      <c r="I53" s="187"/>
      <c r="J53" s="187"/>
      <c r="K53" s="187"/>
      <c r="L53" s="187"/>
      <c r="M53" s="187"/>
      <c r="N53" s="187"/>
      <c r="O53" s="187"/>
      <c r="P53" s="187"/>
      <c r="Q53" s="187"/>
      <c r="R53" s="187"/>
      <c r="S53" s="187"/>
      <c r="T53" s="187"/>
      <c r="U53" s="187"/>
      <c r="V53" s="187"/>
      <c r="W53" s="187"/>
      <c r="X53" s="187"/>
      <c r="Y53" s="187"/>
      <c r="Z53" s="187"/>
      <c r="AA53" s="187"/>
      <c r="AB53" s="187"/>
      <c r="AC53" s="187"/>
      <c r="AD53" s="187"/>
      <c r="AE53" s="187"/>
      <c r="AF53" s="187"/>
      <c r="AG53" s="187"/>
      <c r="AH53" s="187"/>
      <c r="AI53" s="187"/>
      <c r="AJ53" s="187"/>
      <c r="AK53" s="187"/>
      <c r="AL53" s="187"/>
      <c r="AM53" s="187"/>
      <c r="AN53" s="187"/>
      <c r="AO53" s="187"/>
      <c r="AP53" s="187"/>
      <c r="AQ53" s="187"/>
      <c r="AR53" s="187"/>
      <c r="AS53" s="187"/>
      <c r="AT53" s="187"/>
      <c r="AU53" s="187"/>
      <c r="AV53" s="187"/>
      <c r="AW53" s="187"/>
      <c r="AX53" s="187"/>
      <c r="AY53" s="187"/>
      <c r="AZ53" s="187"/>
      <c r="BA53" s="187"/>
      <c r="BB53" s="187"/>
      <c r="BC53" s="187"/>
      <c r="BD53" s="187"/>
      <c r="BE53" s="187"/>
      <c r="BF53" s="187"/>
      <c r="BG53" s="187"/>
      <c r="BH53" s="187"/>
      <c r="BI53" s="187"/>
      <c r="BJ53" s="187"/>
      <c r="BK53" s="187"/>
      <c r="BL53" s="187"/>
      <c r="BM53" s="187"/>
      <c r="BN53" s="187"/>
      <c r="BO53" s="187"/>
      <c r="BP53" s="187"/>
      <c r="BQ53" s="187"/>
      <c r="BR53" s="187"/>
      <c r="BS53" s="187"/>
      <c r="BT53" s="187"/>
      <c r="BU53" s="187"/>
      <c r="BV53" s="187"/>
      <c r="BW53" s="187"/>
      <c r="BX53" s="187"/>
      <c r="BY53" s="187"/>
      <c r="BZ53" s="187"/>
      <c r="CA53" s="187"/>
      <c r="CB53" s="187"/>
      <c r="CC53" s="187"/>
      <c r="CD53" s="187"/>
      <c r="CE53" s="187"/>
      <c r="CF53" s="187"/>
      <c r="CG53" s="187"/>
      <c r="CH53" s="187"/>
      <c r="CI53" s="187"/>
      <c r="CJ53" s="187"/>
      <c r="CK53" s="187"/>
      <c r="CL53" s="187"/>
      <c r="CM53" s="187"/>
      <c r="CN53" s="187"/>
      <c r="CO53" s="187"/>
      <c r="CP53" s="187"/>
      <c r="CQ53" s="187"/>
      <c r="CR53" s="187"/>
      <c r="CS53" s="187"/>
      <c r="CT53" s="187"/>
      <c r="CU53" s="187"/>
      <c r="CV53" s="175"/>
    </row>
    <row r="54" spans="2:100" ht="21.75" customHeight="1">
      <c r="B54" s="174"/>
      <c r="C54" s="187"/>
      <c r="D54" s="187"/>
      <c r="E54" s="187"/>
      <c r="F54" s="187"/>
      <c r="G54" s="187"/>
      <c r="H54" s="187"/>
      <c r="I54" s="187"/>
      <c r="J54" s="187"/>
      <c r="K54" s="187"/>
      <c r="L54" s="187"/>
      <c r="M54" s="187"/>
      <c r="N54" s="187"/>
      <c r="O54" s="187"/>
      <c r="P54" s="187"/>
      <c r="Q54" s="187"/>
      <c r="R54" s="187"/>
      <c r="S54" s="187"/>
      <c r="T54" s="187"/>
      <c r="U54" s="187"/>
      <c r="V54" s="187"/>
      <c r="W54" s="187"/>
      <c r="X54" s="187"/>
      <c r="Y54" s="187"/>
      <c r="Z54" s="187"/>
      <c r="AA54" s="187"/>
      <c r="AB54" s="187"/>
      <c r="AC54" s="187"/>
      <c r="AD54" s="187"/>
      <c r="AE54" s="187"/>
      <c r="AF54" s="187"/>
      <c r="AG54" s="187"/>
      <c r="AH54" s="187"/>
      <c r="AI54" s="187"/>
      <c r="AJ54" s="187"/>
      <c r="AK54" s="187"/>
      <c r="AL54" s="187"/>
      <c r="AM54" s="187"/>
      <c r="AN54" s="187"/>
      <c r="AO54" s="187"/>
      <c r="AP54" s="187"/>
      <c r="AQ54" s="187"/>
      <c r="AR54" s="187"/>
      <c r="AS54" s="187"/>
      <c r="AT54" s="187"/>
      <c r="AU54" s="187"/>
      <c r="AV54" s="187"/>
      <c r="AW54" s="187"/>
      <c r="AX54" s="187"/>
      <c r="AY54" s="187"/>
      <c r="AZ54" s="187"/>
      <c r="BA54" s="187"/>
      <c r="BB54" s="187"/>
      <c r="BC54" s="187"/>
      <c r="BD54" s="187"/>
      <c r="BE54" s="187"/>
      <c r="BF54" s="187"/>
      <c r="BG54" s="187"/>
      <c r="BH54" s="187"/>
      <c r="BI54" s="187"/>
      <c r="BJ54" s="187"/>
      <c r="BK54" s="187"/>
      <c r="BL54" s="187"/>
      <c r="BM54" s="187"/>
      <c r="BN54" s="187"/>
      <c r="BO54" s="187"/>
      <c r="BP54" s="187"/>
      <c r="BQ54" s="187"/>
      <c r="BR54" s="187"/>
      <c r="BS54" s="187"/>
      <c r="BT54" s="187"/>
      <c r="BU54" s="187"/>
      <c r="BV54" s="187"/>
      <c r="BW54" s="187"/>
      <c r="BX54" s="187"/>
      <c r="BY54" s="187"/>
      <c r="BZ54" s="187"/>
      <c r="CA54" s="187"/>
      <c r="CB54" s="187"/>
      <c r="CC54" s="187"/>
      <c r="CD54" s="187"/>
      <c r="CE54" s="187"/>
      <c r="CF54" s="187"/>
      <c r="CG54" s="187"/>
      <c r="CH54" s="187"/>
      <c r="CI54" s="187"/>
      <c r="CJ54" s="187"/>
      <c r="CK54" s="187"/>
      <c r="CL54" s="187"/>
      <c r="CM54" s="187"/>
      <c r="CN54" s="187"/>
      <c r="CO54" s="187"/>
      <c r="CP54" s="187"/>
      <c r="CQ54" s="187"/>
      <c r="CR54" s="187"/>
      <c r="CS54" s="187"/>
      <c r="CT54" s="187"/>
      <c r="CU54" s="187"/>
      <c r="CV54" s="175"/>
    </row>
    <row r="55" spans="2:100" ht="21.75" customHeight="1">
      <c r="B55" s="174"/>
      <c r="C55" s="165"/>
      <c r="D55" s="165"/>
      <c r="E55" s="165"/>
      <c r="F55" s="165"/>
      <c r="G55" s="165"/>
      <c r="H55" s="165"/>
      <c r="I55" s="165"/>
      <c r="J55" s="165"/>
      <c r="K55" s="165"/>
      <c r="L55" s="165"/>
      <c r="M55" s="165"/>
      <c r="N55" s="165"/>
      <c r="O55" s="165"/>
      <c r="P55" s="165"/>
      <c r="Q55" s="165"/>
      <c r="R55" s="165"/>
      <c r="S55" s="165"/>
      <c r="T55" s="165"/>
      <c r="U55" s="165"/>
      <c r="V55" s="165"/>
      <c r="W55" s="165"/>
      <c r="X55" s="165"/>
      <c r="Y55" s="165"/>
      <c r="Z55" s="165"/>
      <c r="AA55" s="165"/>
      <c r="AB55" s="165"/>
      <c r="AC55" s="165"/>
      <c r="AD55" s="165"/>
      <c r="AE55" s="165"/>
      <c r="AF55" s="165"/>
      <c r="AG55" s="165"/>
      <c r="AH55" s="165"/>
      <c r="AI55" s="165"/>
      <c r="AJ55" s="165"/>
      <c r="AK55" s="165"/>
      <c r="AL55" s="165"/>
      <c r="AM55" s="165"/>
      <c r="AN55" s="165"/>
      <c r="AO55" s="165"/>
      <c r="AP55" s="165"/>
      <c r="AQ55" s="165"/>
      <c r="AR55" s="165"/>
      <c r="AS55" s="165"/>
      <c r="AT55" s="165"/>
      <c r="AU55" s="165"/>
      <c r="AV55" s="165"/>
      <c r="AW55" s="165"/>
      <c r="AX55" s="165"/>
      <c r="AY55" s="165"/>
      <c r="AZ55" s="165"/>
      <c r="BA55" s="165"/>
      <c r="BB55" s="165"/>
      <c r="BC55" s="165"/>
      <c r="BD55" s="165"/>
      <c r="BE55" s="165"/>
      <c r="BF55" s="165"/>
      <c r="BG55" s="165"/>
      <c r="BH55" s="165"/>
      <c r="BI55" s="165"/>
      <c r="BJ55" s="165"/>
      <c r="BK55" s="165"/>
      <c r="BL55" s="165"/>
      <c r="BM55" s="165"/>
      <c r="BN55" s="165"/>
      <c r="BO55" s="178"/>
      <c r="BP55" s="179"/>
      <c r="BQ55" s="179"/>
      <c r="BR55" s="179"/>
      <c r="BS55" s="179"/>
      <c r="BT55" s="179"/>
      <c r="BU55" s="179"/>
      <c r="BV55" s="179"/>
      <c r="BW55" s="179"/>
      <c r="BX55" s="179"/>
      <c r="BY55" s="179"/>
      <c r="BZ55" s="179"/>
      <c r="CA55" s="179"/>
      <c r="CB55" s="179"/>
      <c r="CC55" s="179"/>
      <c r="CD55" s="179"/>
      <c r="CE55" s="179"/>
      <c r="CF55" s="179"/>
      <c r="CG55" s="179"/>
      <c r="CH55" s="179"/>
      <c r="CI55" s="179"/>
      <c r="CJ55" s="179"/>
      <c r="CK55" s="179"/>
      <c r="CL55" s="179"/>
      <c r="CM55" s="179"/>
      <c r="CN55" s="179"/>
      <c r="CO55" s="179"/>
      <c r="CP55" s="179"/>
      <c r="CQ55" s="179"/>
      <c r="CR55" s="179"/>
      <c r="CS55" s="179"/>
      <c r="CT55" s="179"/>
      <c r="CU55" s="179"/>
      <c r="CV55" s="175"/>
    </row>
    <row r="56" spans="2:100" ht="21.75" customHeight="1">
      <c r="B56" s="174"/>
      <c r="C56" s="290" t="s">
        <v>1747</v>
      </c>
      <c r="D56" s="290"/>
      <c r="E56" s="290"/>
      <c r="F56" s="290"/>
      <c r="G56" s="290"/>
      <c r="H56" s="290"/>
      <c r="I56" s="290"/>
      <c r="J56" s="290"/>
      <c r="K56" s="290"/>
      <c r="L56" s="290"/>
      <c r="M56" s="290"/>
      <c r="N56" s="290"/>
      <c r="O56" s="290"/>
      <c r="P56" s="290"/>
      <c r="Q56" s="290"/>
      <c r="R56" s="290"/>
      <c r="S56" s="291" t="s">
        <v>1658</v>
      </c>
      <c r="T56" s="291"/>
      <c r="U56" s="291"/>
      <c r="V56" s="291"/>
      <c r="W56" s="291"/>
      <c r="X56" s="291"/>
      <c r="Y56" s="291"/>
      <c r="Z56" s="291"/>
      <c r="AA56" s="291"/>
      <c r="AB56" s="291"/>
      <c r="AC56" s="291"/>
      <c r="AD56" s="291"/>
      <c r="AE56" s="291"/>
      <c r="AF56" s="291"/>
      <c r="AG56" s="291"/>
      <c r="AH56" s="291"/>
      <c r="AI56" s="292" t="s">
        <v>1737</v>
      </c>
      <c r="AJ56" s="292"/>
      <c r="AK56" s="292"/>
      <c r="AL56" s="292"/>
      <c r="AM56" s="292"/>
      <c r="AN56" s="292"/>
      <c r="AO56" s="292"/>
      <c r="AP56" s="292"/>
      <c r="AQ56" s="292"/>
      <c r="AR56" s="292"/>
      <c r="AS56" s="292"/>
      <c r="AT56" s="292"/>
      <c r="AU56" s="292"/>
      <c r="AV56" s="292"/>
      <c r="AW56" s="292"/>
      <c r="AX56" s="292"/>
      <c r="AY56" s="291" t="s">
        <v>1659</v>
      </c>
      <c r="AZ56" s="291"/>
      <c r="BA56" s="291"/>
      <c r="BB56" s="291"/>
      <c r="BC56" s="291"/>
      <c r="BD56" s="291"/>
      <c r="BE56" s="291"/>
      <c r="BF56" s="291"/>
      <c r="BG56" s="291"/>
      <c r="BH56" s="291"/>
      <c r="BI56" s="291"/>
      <c r="BJ56" s="291"/>
      <c r="BK56" s="291"/>
      <c r="BL56" s="291"/>
      <c r="BM56" s="291"/>
      <c r="BN56" s="291"/>
      <c r="BO56" s="292" t="s">
        <v>1738</v>
      </c>
      <c r="BP56" s="292"/>
      <c r="BQ56" s="292"/>
      <c r="BR56" s="292"/>
      <c r="BS56" s="292"/>
      <c r="BT56" s="292"/>
      <c r="BU56" s="292"/>
      <c r="BV56" s="292"/>
      <c r="BW56" s="292"/>
      <c r="BX56" s="292"/>
      <c r="BY56" s="292"/>
      <c r="BZ56" s="292"/>
      <c r="CA56" s="292"/>
      <c r="CB56" s="292"/>
      <c r="CC56" s="292"/>
      <c r="CD56" s="292"/>
      <c r="CE56" s="291" t="s">
        <v>1641</v>
      </c>
      <c r="CF56" s="291"/>
      <c r="CG56" s="291"/>
      <c r="CH56" s="291"/>
      <c r="CI56" s="291"/>
      <c r="CJ56" s="291"/>
      <c r="CK56" s="291"/>
      <c r="CL56" s="291"/>
      <c r="CM56" s="291"/>
      <c r="CN56" s="291"/>
      <c r="CO56" s="291"/>
      <c r="CP56" s="291"/>
      <c r="CQ56" s="291"/>
      <c r="CR56" s="291"/>
      <c r="CS56" s="291"/>
      <c r="CT56" s="291"/>
      <c r="CU56" s="179"/>
      <c r="CV56" s="175"/>
    </row>
    <row r="57" spans="2:100" ht="21.75" customHeight="1">
      <c r="B57" s="174"/>
      <c r="C57" s="165"/>
      <c r="D57" s="165"/>
      <c r="E57" s="165"/>
      <c r="F57" s="165"/>
      <c r="G57" s="165"/>
      <c r="H57" s="165"/>
      <c r="I57" s="165"/>
      <c r="J57" s="165"/>
      <c r="K57" s="165"/>
      <c r="L57" s="165"/>
      <c r="M57" s="165"/>
      <c r="N57" s="165"/>
      <c r="O57" s="165"/>
      <c r="P57" s="165"/>
      <c r="Q57" s="165"/>
      <c r="R57" s="165"/>
      <c r="S57" s="165"/>
      <c r="T57" s="165"/>
      <c r="U57" s="165"/>
      <c r="V57" s="165"/>
      <c r="W57" s="165"/>
      <c r="X57" s="165"/>
      <c r="Y57" s="165"/>
      <c r="Z57" s="165"/>
      <c r="AA57" s="165"/>
      <c r="AB57" s="165"/>
      <c r="AC57" s="165"/>
      <c r="AD57" s="165"/>
      <c r="AE57" s="165"/>
      <c r="AF57" s="165"/>
      <c r="AG57" s="165"/>
      <c r="AH57" s="165"/>
      <c r="AI57" s="165"/>
      <c r="AJ57" s="165"/>
      <c r="AK57" s="165"/>
      <c r="AL57" s="165"/>
      <c r="AM57" s="165"/>
      <c r="AN57" s="165"/>
      <c r="AO57" s="165"/>
      <c r="AP57" s="165"/>
      <c r="AQ57" s="165"/>
      <c r="AR57" s="165"/>
      <c r="AS57" s="165"/>
      <c r="AT57" s="165"/>
      <c r="AU57" s="165"/>
      <c r="AV57" s="165"/>
      <c r="AW57" s="165"/>
      <c r="AX57" s="165"/>
      <c r="AY57" s="165"/>
      <c r="AZ57" s="165"/>
      <c r="BA57" s="165"/>
      <c r="BB57" s="165"/>
      <c r="BC57" s="165"/>
      <c r="BD57" s="165"/>
      <c r="BE57" s="165"/>
      <c r="BF57" s="165"/>
      <c r="BG57" s="165"/>
      <c r="BH57" s="165"/>
      <c r="BI57" s="165"/>
      <c r="BJ57" s="165"/>
      <c r="BK57" s="165"/>
      <c r="BL57" s="165"/>
      <c r="BM57" s="165"/>
      <c r="BN57" s="165"/>
      <c r="BO57" s="178"/>
      <c r="BP57" s="179"/>
      <c r="BQ57" s="179"/>
      <c r="BR57" s="179"/>
      <c r="BS57" s="179"/>
      <c r="BT57" s="179"/>
      <c r="BU57" s="179"/>
      <c r="BV57" s="179"/>
      <c r="BW57" s="179"/>
      <c r="BX57" s="179"/>
      <c r="BY57" s="179"/>
      <c r="BZ57" s="179"/>
      <c r="CA57" s="179"/>
      <c r="CB57" s="179"/>
      <c r="CC57" s="179"/>
      <c r="CD57" s="179"/>
      <c r="CE57" s="179"/>
      <c r="CF57" s="179"/>
      <c r="CG57" s="179"/>
      <c r="CH57" s="179"/>
      <c r="CI57" s="179"/>
      <c r="CJ57" s="179"/>
      <c r="CK57" s="179"/>
      <c r="CL57" s="179"/>
      <c r="CM57" s="179"/>
      <c r="CN57" s="179"/>
      <c r="CO57" s="179"/>
      <c r="CP57" s="179"/>
      <c r="CQ57" s="179"/>
      <c r="CR57" s="179"/>
      <c r="CS57" s="179"/>
      <c r="CT57" s="179"/>
      <c r="CU57" s="179"/>
      <c r="CV57" s="175"/>
    </row>
    <row r="58" spans="2:100" ht="21.75" customHeight="1" thickBot="1">
      <c r="B58" s="180"/>
      <c r="C58" s="181"/>
      <c r="D58" s="181"/>
      <c r="E58" s="181"/>
      <c r="F58" s="181"/>
      <c r="G58" s="181"/>
      <c r="H58" s="181"/>
      <c r="I58" s="181"/>
      <c r="J58" s="181"/>
      <c r="K58" s="181"/>
      <c r="L58" s="181"/>
      <c r="M58" s="181"/>
      <c r="N58" s="181"/>
      <c r="O58" s="181"/>
      <c r="P58" s="181"/>
      <c r="Q58" s="181"/>
      <c r="R58" s="181"/>
      <c r="S58" s="181"/>
      <c r="T58" s="181"/>
      <c r="U58" s="181"/>
      <c r="V58" s="181"/>
      <c r="W58" s="181"/>
      <c r="X58" s="181"/>
      <c r="Y58" s="181"/>
      <c r="Z58" s="181"/>
      <c r="AA58" s="181"/>
      <c r="AB58" s="181"/>
      <c r="AC58" s="181"/>
      <c r="AD58" s="181"/>
      <c r="AE58" s="181"/>
      <c r="AF58" s="181"/>
      <c r="AG58" s="181"/>
      <c r="AH58" s="181"/>
      <c r="AI58" s="181"/>
      <c r="AJ58" s="181"/>
      <c r="AK58" s="181"/>
      <c r="AL58" s="181"/>
      <c r="AM58" s="181"/>
      <c r="AN58" s="181"/>
      <c r="AO58" s="181"/>
      <c r="AP58" s="181"/>
      <c r="AQ58" s="181"/>
      <c r="AR58" s="181"/>
      <c r="AS58" s="181"/>
      <c r="AT58" s="181"/>
      <c r="AU58" s="181"/>
      <c r="AV58" s="181"/>
      <c r="AW58" s="181"/>
      <c r="AX58" s="181"/>
      <c r="AY58" s="181"/>
      <c r="AZ58" s="181"/>
      <c r="BA58" s="181"/>
      <c r="BB58" s="181"/>
      <c r="BC58" s="181"/>
      <c r="BD58" s="181"/>
      <c r="BE58" s="181"/>
      <c r="BF58" s="181"/>
      <c r="BG58" s="181"/>
      <c r="BH58" s="181"/>
      <c r="BI58" s="181"/>
      <c r="BJ58" s="181"/>
      <c r="BK58" s="181"/>
      <c r="BL58" s="181"/>
      <c r="BM58" s="181"/>
      <c r="BN58" s="181"/>
      <c r="BO58" s="181"/>
      <c r="BP58" s="181"/>
      <c r="BQ58" s="182"/>
      <c r="BR58" s="182"/>
      <c r="BS58" s="182"/>
      <c r="BT58" s="182"/>
      <c r="BU58" s="182"/>
      <c r="BV58" s="182"/>
      <c r="BW58" s="182"/>
      <c r="BX58" s="182"/>
      <c r="BY58" s="182"/>
      <c r="BZ58" s="182"/>
      <c r="CA58" s="182"/>
      <c r="CB58" s="182"/>
      <c r="CC58" s="182"/>
      <c r="CD58" s="182"/>
      <c r="CE58" s="182"/>
      <c r="CF58" s="182"/>
      <c r="CG58" s="182"/>
      <c r="CH58" s="182"/>
      <c r="CI58" s="182"/>
      <c r="CJ58" s="182"/>
      <c r="CK58" s="182"/>
      <c r="CL58" s="182"/>
      <c r="CM58" s="182"/>
      <c r="CN58" s="182"/>
      <c r="CO58" s="182"/>
      <c r="CP58" s="182"/>
      <c r="CQ58" s="182"/>
      <c r="CR58" s="182"/>
      <c r="CS58" s="182"/>
      <c r="CT58" s="182"/>
      <c r="CU58" s="182"/>
      <c r="CV58" s="183"/>
    </row>
    <row r="59" spans="2:100" ht="7.9" customHeight="1">
      <c r="B59" s="152"/>
      <c r="C59" s="152"/>
      <c r="D59" s="152"/>
      <c r="E59" s="152"/>
      <c r="F59" s="152"/>
      <c r="G59" s="152"/>
      <c r="H59" s="152"/>
      <c r="I59" s="152"/>
      <c r="J59" s="152"/>
      <c r="K59" s="152"/>
      <c r="L59" s="152"/>
      <c r="M59" s="152"/>
      <c r="N59" s="152"/>
      <c r="O59" s="152"/>
      <c r="P59" s="152"/>
      <c r="Q59" s="152"/>
      <c r="R59" s="152"/>
      <c r="S59" s="152"/>
      <c r="T59" s="152"/>
      <c r="U59" s="152"/>
      <c r="V59" s="152"/>
      <c r="W59" s="152"/>
      <c r="X59" s="152"/>
      <c r="Y59" s="152"/>
      <c r="Z59" s="152"/>
      <c r="AA59" s="152"/>
      <c r="AB59" s="152"/>
      <c r="AC59" s="152"/>
      <c r="AD59" s="152"/>
      <c r="AE59" s="152"/>
      <c r="AF59" s="152"/>
      <c r="AG59" s="152"/>
      <c r="AH59" s="152"/>
      <c r="AI59" s="152"/>
      <c r="AJ59" s="152"/>
      <c r="AK59" s="152"/>
      <c r="AL59" s="152"/>
      <c r="AM59" s="152"/>
      <c r="AN59" s="152"/>
      <c r="AO59" s="152"/>
      <c r="AP59" s="152"/>
      <c r="AQ59" s="152"/>
      <c r="AR59" s="152"/>
      <c r="AS59" s="152"/>
      <c r="AT59" s="152"/>
      <c r="AU59" s="152"/>
      <c r="AV59" s="152"/>
      <c r="AW59" s="152"/>
      <c r="AX59" s="152"/>
      <c r="AY59" s="152"/>
      <c r="AZ59" s="152"/>
      <c r="BA59" s="152"/>
      <c r="BB59" s="152"/>
      <c r="BC59" s="152"/>
      <c r="BD59" s="152"/>
      <c r="BE59" s="152"/>
      <c r="BF59" s="152"/>
      <c r="BG59" s="152"/>
      <c r="BH59" s="152"/>
      <c r="BI59" s="152"/>
      <c r="BJ59" s="152"/>
      <c r="BK59" s="152"/>
      <c r="BL59" s="152"/>
      <c r="BM59" s="152"/>
      <c r="BN59" s="152"/>
      <c r="BO59" s="152"/>
      <c r="BP59" s="152"/>
      <c r="BQ59" s="151"/>
      <c r="BR59" s="151"/>
      <c r="BS59" s="151"/>
      <c r="BT59" s="151"/>
      <c r="BU59" s="151"/>
      <c r="BV59" s="151"/>
      <c r="BW59" s="151"/>
      <c r="BX59" s="151"/>
      <c r="BY59" s="151"/>
      <c r="BZ59" s="151"/>
      <c r="CA59" s="151"/>
      <c r="CB59" s="151"/>
      <c r="CC59" s="151"/>
      <c r="CD59" s="151"/>
      <c r="CE59" s="151"/>
      <c r="CF59" s="151"/>
      <c r="CG59" s="151"/>
      <c r="CH59" s="151"/>
      <c r="CI59" s="151"/>
      <c r="CJ59" s="151"/>
      <c r="CK59" s="151"/>
      <c r="CL59" s="151"/>
      <c r="CM59" s="151"/>
      <c r="CN59" s="151"/>
      <c r="CO59" s="151"/>
      <c r="CP59" s="151"/>
      <c r="CQ59" s="151"/>
      <c r="CR59" s="151"/>
      <c r="CS59" s="151"/>
      <c r="CT59" s="151"/>
      <c r="CU59" s="151"/>
      <c r="CV59" s="151"/>
    </row>
    <row r="60" spans="2:100" ht="24" customHeight="1"/>
    <row r="61" spans="2:100" ht="24" customHeight="1"/>
    <row r="62" spans="2:100" ht="24" customHeight="1"/>
    <row r="63" spans="2:100" ht="24" customHeight="1"/>
    <row r="64" spans="2:100" ht="24" customHeight="1"/>
  </sheetData>
  <mergeCells count="66">
    <mergeCell ref="B2:CB2"/>
    <mergeCell ref="CC2:CK2"/>
    <mergeCell ref="CL2:CV2"/>
    <mergeCell ref="B3:CB3"/>
    <mergeCell ref="CC3:CK3"/>
    <mergeCell ref="CL3:CV3"/>
    <mergeCell ref="B4:BC4"/>
    <mergeCell ref="BD4:CB4"/>
    <mergeCell ref="CC4:CK4"/>
    <mergeCell ref="CL4:CV4"/>
    <mergeCell ref="B5:BC5"/>
    <mergeCell ref="BD5:CB5"/>
    <mergeCell ref="CC5:CK5"/>
    <mergeCell ref="CL5:CV5"/>
    <mergeCell ref="B6:CV6"/>
    <mergeCell ref="C9:BR9"/>
    <mergeCell ref="BT9:CD9"/>
    <mergeCell ref="C10:N10"/>
    <mergeCell ref="O10:BR10"/>
    <mergeCell ref="BS10:CA10"/>
    <mergeCell ref="CB10:CU10"/>
    <mergeCell ref="C16:CU18"/>
    <mergeCell ref="C11:H11"/>
    <mergeCell ref="I11:X11"/>
    <mergeCell ref="Y11:AD11"/>
    <mergeCell ref="AE11:AT11"/>
    <mergeCell ref="AU11:BA11"/>
    <mergeCell ref="BB11:BR11"/>
    <mergeCell ref="BS11:CA11"/>
    <mergeCell ref="CB11:CU11"/>
    <mergeCell ref="C12:BR12"/>
    <mergeCell ref="C13:CU14"/>
    <mergeCell ref="C15:BN15"/>
    <mergeCell ref="C28:BH28"/>
    <mergeCell ref="C19:BN19"/>
    <mergeCell ref="C20:CU22"/>
    <mergeCell ref="C25:R25"/>
    <mergeCell ref="S25:AH25"/>
    <mergeCell ref="AI25:AX25"/>
    <mergeCell ref="AY25:BN25"/>
    <mergeCell ref="BO25:CD25"/>
    <mergeCell ref="CE25:CT25"/>
    <mergeCell ref="C26:Q26"/>
    <mergeCell ref="Z26:CU26"/>
    <mergeCell ref="C27:Q27"/>
    <mergeCell ref="W27:Y27"/>
    <mergeCell ref="Z27:CU27"/>
    <mergeCell ref="C51:BH51"/>
    <mergeCell ref="C29:CU30"/>
    <mergeCell ref="C31:BH31"/>
    <mergeCell ref="C32:CU33"/>
    <mergeCell ref="C34:BH34"/>
    <mergeCell ref="C35:CU36"/>
    <mergeCell ref="C37:BH37"/>
    <mergeCell ref="C38:CU39"/>
    <mergeCell ref="C40:BH40"/>
    <mergeCell ref="C41:CU42"/>
    <mergeCell ref="C46:BH46"/>
    <mergeCell ref="C47:CU49"/>
    <mergeCell ref="C52:CU54"/>
    <mergeCell ref="C56:R56"/>
    <mergeCell ref="S56:AH56"/>
    <mergeCell ref="AI56:AX56"/>
    <mergeCell ref="AY56:BN56"/>
    <mergeCell ref="BO56:CD56"/>
    <mergeCell ref="CE56:CT56"/>
  </mergeCells>
  <phoneticPr fontId="5"/>
  <dataValidations count="1">
    <dataValidation type="list" showInputMessage="1" showErrorMessage="1" sqref="AC7" xr:uid="{58DB9EFA-DB4E-4B63-A418-30DF7EE73D0D}">
      <formula1>"レ"</formula1>
    </dataValidation>
  </dataValidations>
  <printOptions horizontalCentered="1"/>
  <pageMargins left="0.19685039370078741" right="0.19685039370078741" top="0.19685039370078741" bottom="0.19685039370078741" header="0.23622047244094491" footer="0.19685039370078741"/>
  <pageSetup paperSize="9" scale="74" fitToHeight="0"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8</vt:i4>
      </vt:variant>
      <vt:variant>
        <vt:lpstr>名前付き一覧</vt:lpstr>
      </vt:variant>
      <vt:variant>
        <vt:i4>4</vt:i4>
      </vt:variant>
    </vt:vector>
  </HeadingPairs>
  <TitlesOfParts>
    <vt:vector size="12" baseType="lpstr">
      <vt:lpstr>様式 </vt:lpstr>
      <vt:lpstr>ダウンロードシート</vt:lpstr>
      <vt:lpstr>受注確認書</vt:lpstr>
      <vt:lpstr>選択肢</vt:lpstr>
      <vt:lpstr>シートフォーム</vt:lpstr>
      <vt:lpstr>再防検討</vt:lpstr>
      <vt:lpstr>テーブル検討</vt:lpstr>
      <vt:lpstr>再防検討 (2)</vt:lpstr>
      <vt:lpstr>シートフォーム!Print_Area</vt:lpstr>
      <vt:lpstr>再防検討!Print_Area</vt:lpstr>
      <vt:lpstr>'再防検討 (2)'!Print_Area</vt:lpstr>
      <vt:lpstr>'様式 '!Print_Area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KRONE</dc:creator>
  <cp:lastModifiedBy>製造-2</cp:lastModifiedBy>
  <cp:lastPrinted>2025-04-09T02:20:11Z</cp:lastPrinted>
  <dcterms:created xsi:type="dcterms:W3CDTF">2022-03-31T08:06:57Z</dcterms:created>
  <dcterms:modified xsi:type="dcterms:W3CDTF">2025-10-03T08:20:07Z</dcterms:modified>
</cp:coreProperties>
</file>